
<file path=[Content_Types].xml><?xml version="1.0" encoding="utf-8"?>
<Types xmlns="http://schemas.openxmlformats.org/package/2006/content-types">
  <Default Extension="vml" ContentType="application/vnd.openxmlformats-officedocument.vmlDrawing"/>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theme/theme1.xml" ContentType="application/vnd.openxmlformats-officedocument.theme+xml"/>
  <Override PartName="/xl/worksheets/sheet6.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persons/person.xml" ContentType="application/vnd.ms-excel.person+xml"/>
  <Override PartName="/docProps/app.xml" ContentType="application/vnd.openxmlformats-officedocument.extended-properties+xml"/>
  <Override PartName="/xl/comments1.xml" ContentType="application/vnd.openxmlformats-officedocument.spreadsheetml.comments+xml"/>
  <Override PartName="/xl/worksheets/sheet5.xml" ContentType="application/vnd.openxmlformats-officedocument.spreadsheetml.worksheet+xml"/>
  <Override PartName="/xl/styles.xml" ContentType="application/vnd.openxmlformats-officedocument.spreadsheetml.styles+xml"/>
  <Override PartName="/xl/threadedComments/threadedComment1.xml" ContentType="application/vnd.ms-excel.threadedcomments+xml"/>
  <Override PartName="/xl/worksheets/sheet1.xml" ContentType="application/vnd.openxmlformats-officedocument.spreadsheetml.worksheet+xml"/>
  <Override PartName="/xl/worksheets/sheet3.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Hauptartikel &amp; Vorauswahl" sheetId="1" state="visible" r:id="rId2"/>
    <sheet name="Einzelteile und Beilagen" sheetId="2" state="visible" r:id="rId3"/>
    <sheet name="Preisberechnung" sheetId="3" state="visible" r:id="rId4"/>
    <sheet name="Porto" sheetId="4" state="visible" r:id="rId5"/>
    <sheet name="Gewichtsermittlung" sheetId="5" state="visible" r:id="rId6"/>
    <sheet name="Ermittlung Portoaufzhlg." sheetId="6" state="visible" r:id="rId7"/>
  </sheets>
  <definedNames>
    <definedName name="_xlnm.Print_Area" localSheetId="1">'Einzelteile und Beilagen'!$H$27:$CA$60</definedName>
  </definedNames>
  <calcPr/>
  <extLst>
    <ext xmlns:x15="http://schemas.microsoft.com/office/spreadsheetml/2010/11/main" uri="{D0CA8CA8-9F24-4464-BF8E-62219DCF47F9}"/>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tc={39E13980-8087-4E31-A72D-7BFB60F12308}</author>
  </authors>
  <commentList>
    <comment ref="K3" authorId="0" xr:uid="{39E13980-8087-4E31-A72D-7BFB60F12308}">
      <text>
        <r>
          <rPr>
            <b/>
            <sz val="9"/>
            <rFont val="Tahoma"/>
          </rPr>
          <t>tkompernass:</t>
        </r>
        <r>
          <rPr>
            <sz val="9"/>
            <rFont val="Tahoma"/>
          </rPr>
          <t xml:space="preserve">
Produktgruppe und Kategorie tauschen
</t>
        </r>
      </text>
    </comment>
  </commentList>
</comments>
</file>

<file path=xl/sharedStrings.xml><?xml version="1.0" encoding="utf-8"?>
<sst xmlns="http://schemas.openxmlformats.org/spreadsheetml/2006/main" count="658" uniqueCount="658">
  <si>
    <t xml:space="preserve">Diese Spalten kennzeichnen die Produktgruppen, welche als mögliche Beilage eines kuvertierten Mailings in Frage kommen.</t>
  </si>
  <si>
    <t xml:space="preserve">Angaben zur Portoberechnung
</t>
  </si>
  <si>
    <t xml:space="preserve">Kosten (in €)  Jopke Extern
Rüst/Grundkosten und 1000er Stück Kosten je nach Anzahl Gesamtmenge, Staffel können erweitert werden</t>
  </si>
  <si>
    <t xml:space="preserve">Kosten (in €)  Jopke Intern
Rüst/Grundkosten und 1000er Stück Kosten je nach Anzahl Gesamtmenge, Staffel können erweitert werden</t>
  </si>
  <si>
    <t xml:space="preserve">Zuschlag in % von Intern auf Extern</t>
  </si>
  <si>
    <t xml:space="preserve">Produktgruppe
kennzeichnet den "Hauptartikel"</t>
  </si>
  <si>
    <t xml:space="preserve">Übergeordnete 
Produktkategorie</t>
  </si>
  <si>
    <t xml:space="preserve">Eindeutige Produktnummer</t>
  </si>
  <si>
    <t>Produktname</t>
  </si>
  <si>
    <t xml:space="preserve">Produktbeschreibung 
(muss nur für eine Variante hinterlegt sein)</t>
  </si>
  <si>
    <t>Inhalt</t>
  </si>
  <si>
    <t>Umschlag</t>
  </si>
  <si>
    <t xml:space="preserve">Gewicht zur Berechnung des 
initialen Portos ohne Optimierung</t>
  </si>
  <si>
    <t xml:space="preserve">Versandklasse zur Einordnung
der Produktgröße</t>
  </si>
  <si>
    <t>Extern</t>
  </si>
  <si>
    <t xml:space="preserve">Für internen Vergleich mit Vorkalkulationen</t>
  </si>
  <si>
    <t xml:space="preserve">Verarbeitung Intern</t>
  </si>
  <si>
    <t xml:space="preserve">Verarb. Aufschlag</t>
  </si>
  <si>
    <t xml:space="preserve">Material Intern</t>
  </si>
  <si>
    <t xml:space="preserve">Material Aufschlag</t>
  </si>
  <si>
    <t xml:space="preserve">Produkt-Gruppe 1</t>
  </si>
  <si>
    <t>Kategorie</t>
  </si>
  <si>
    <t>Kategorie-Beschreibung</t>
  </si>
  <si>
    <t xml:space="preserve">Produkt-Gruppe 2</t>
  </si>
  <si>
    <t xml:space="preserve">Kategorie 2</t>
  </si>
  <si>
    <t xml:space="preserve">Kategorie-Beschreibung 2</t>
  </si>
  <si>
    <t xml:space="preserve">Produkt-Gruppe 3</t>
  </si>
  <si>
    <t xml:space="preserve">Kategorie 3</t>
  </si>
  <si>
    <t xml:space="preserve">Kategorie-Beschreibung 3</t>
  </si>
  <si>
    <t xml:space="preserve">Produkt-Gruppe 4</t>
  </si>
  <si>
    <t xml:space="preserve">Kategorie 4</t>
  </si>
  <si>
    <t>Produkt-Nummer</t>
  </si>
  <si>
    <t>Name</t>
  </si>
  <si>
    <t>Beschreibung</t>
  </si>
  <si>
    <t>PDF</t>
  </si>
  <si>
    <t>Hülle</t>
  </si>
  <si>
    <t>Anschreiben</t>
  </si>
  <si>
    <t>Flyer</t>
  </si>
  <si>
    <t>Broschüre</t>
  </si>
  <si>
    <t>Antwortkarte</t>
  </si>
  <si>
    <t>Endformat:</t>
  </si>
  <si>
    <t xml:space="preserve">Offenes Format:</t>
  </si>
  <si>
    <t>Umfang:</t>
  </si>
  <si>
    <t>Papier:</t>
  </si>
  <si>
    <t>Grammatur:</t>
  </si>
  <si>
    <t>Oberfläche:</t>
  </si>
  <si>
    <t>Farbigkeit:</t>
  </si>
  <si>
    <t>Vorderseite:</t>
  </si>
  <si>
    <t>Rückseite:</t>
  </si>
  <si>
    <t>Verarbeitung:</t>
  </si>
  <si>
    <t>Dummy1</t>
  </si>
  <si>
    <t>Dummy2</t>
  </si>
  <si>
    <t>Dummy3</t>
  </si>
  <si>
    <t>Dummy4</t>
  </si>
  <si>
    <t>Perforation:</t>
  </si>
  <si>
    <t>Veredelung:</t>
  </si>
  <si>
    <t>Upload</t>
  </si>
  <si>
    <t>Mindestmenge</t>
  </si>
  <si>
    <t>Maximalmenge</t>
  </si>
  <si>
    <t xml:space="preserve">Gewicht in g</t>
  </si>
  <si>
    <t>Mindest-Versandklasse</t>
  </si>
  <si>
    <t xml:space="preserve">Fixpreis          1 - 5.000</t>
  </si>
  <si>
    <t xml:space="preserve">Preis o/oo                 1 - 5.000</t>
  </si>
  <si>
    <t xml:space="preserve">LZ Standard</t>
  </si>
  <si>
    <t xml:space="preserve">LZ Express</t>
  </si>
  <si>
    <t xml:space="preserve">Aufschlag Express in %</t>
  </si>
  <si>
    <t xml:space="preserve">Fixpreis          5.001 - 10.000</t>
  </si>
  <si>
    <t xml:space="preserve">Preis o/oo                 5.001 - 10.000</t>
  </si>
  <si>
    <t xml:space="preserve">Preis o/oo                 10.001 - 50.000</t>
  </si>
  <si>
    <t xml:space="preserve">Fixpreis          50.001 - 100.000</t>
  </si>
  <si>
    <t xml:space="preserve">Preis o/oo                 50.001 - 100.000</t>
  </si>
  <si>
    <t xml:space="preserve">Eingabe Auflage 1 - 5.000</t>
  </si>
  <si>
    <t xml:space="preserve">VK-Preis Gesamt</t>
  </si>
  <si>
    <t xml:space="preserve">Eingabe Auflage 5.001 - 10.000</t>
  </si>
  <si>
    <t xml:space="preserve">Eingabe Auflage 10.001 - 50.000</t>
  </si>
  <si>
    <t xml:space="preserve">Eingabe Auflage 50.001 - 100.000</t>
  </si>
  <si>
    <t>Lieferant</t>
  </si>
  <si>
    <t>Alternativ-Lieferant</t>
  </si>
  <si>
    <t xml:space="preserve">Fixpreis          10.001 - 50.000</t>
  </si>
  <si>
    <t>ZEILEN-VORLAGE</t>
  </si>
  <si>
    <t xml:space="preserve">Kuvertiertes Mailing</t>
  </si>
  <si>
    <t xml:space="preserve">Das bewährte klassische Mailing mit Briefhülle ist aktuell und erfolgreich.
Einfach Ihre gewünschten Inhalte auswählen, den Rest erledigen wir für Sie.
 Ob mit Adressfenster, Panoramafenster oder einfach als fensterloser Umschlag; 
Sie entscheiden, was von Ihrem Mailing auf den ersten Blick zu sehen ist.</t>
  </si>
  <si>
    <t>DIN-Lang-Mailing</t>
  </si>
  <si>
    <t xml:space="preserve">Format: 229 x 114 mm</t>
  </si>
  <si>
    <t>Fensterhülle</t>
  </si>
  <si>
    <t xml:space="preserve">- Personalisiertes Anschreiben
Optionale Zusatzteile:
Broschüre, Flyer, Antwortkarte</t>
  </si>
  <si>
    <t>100.101</t>
  </si>
  <si>
    <t xml:space="preserve">Kuvertier-Mailing, DIN-Lang, Fensterhülle, Anschreiben</t>
  </si>
  <si>
    <t>datenblatt-kuvertiermailing-mit-fenster.pdf</t>
  </si>
  <si>
    <t>FH1000</t>
  </si>
  <si>
    <t>A1000</t>
  </si>
  <si>
    <t xml:space="preserve">229 x 114 mm</t>
  </si>
  <si>
    <t>B</t>
  </si>
  <si>
    <t xml:space="preserve">Anschreiben + Antwortkarte</t>
  </si>
  <si>
    <t>100.111</t>
  </si>
  <si>
    <t xml:space="preserve">Kuvertier-Mailing, DIN-Lang, Fensterhülle, Anschreiben, Antwortkarte</t>
  </si>
  <si>
    <t>AK1000</t>
  </si>
  <si>
    <t xml:space="preserve">Anschreiben + bis zu 3 Flyer</t>
  </si>
  <si>
    <t>100.121</t>
  </si>
  <si>
    <t xml:space="preserve">Kuvertier-Mailing, DIN-Lang, Fensterhülle, Anschreiben, bis zu 3 Flyer</t>
  </si>
  <si>
    <t>F1000</t>
  </si>
  <si>
    <t xml:space="preserve">Anschreiben + bis zu 3 Flyer + Antwortkarte</t>
  </si>
  <si>
    <t>100.131</t>
  </si>
  <si>
    <t xml:space="preserve">Kuvertier-Mailing, DIN-Lang, Fensterhülle, Anschreiben, bis zu 3 Flyer, Antwortkarte</t>
  </si>
  <si>
    <t xml:space="preserve">Anschreiben + Broschüre</t>
  </si>
  <si>
    <t>100.141</t>
  </si>
  <si>
    <t xml:space="preserve">Kuvertier-Mailing, DIN-Lang, Fensterhülle, Anschreiben, Broschüre</t>
  </si>
  <si>
    <t>B1000</t>
  </si>
  <si>
    <t xml:space="preserve">Anschreiben + Broschüre + Antwortkarte</t>
  </si>
  <si>
    <t>100.151</t>
  </si>
  <si>
    <t xml:space="preserve">Kuvertier-Mailing, DIN-Lang, Fensterhülle, Anschreiben, Broschüre, Antwortkarte</t>
  </si>
  <si>
    <t>Panorama-Fensterhülle</t>
  </si>
  <si>
    <t xml:space="preserve">- Großes Panorama-Fenster auf der VS
- Adressfenster auf der RS
- Personalisiertes Anschreiben
Optionale Zusatzteile:
Broschüre, Flyer, Antwortkarte</t>
  </si>
  <si>
    <t>100.201</t>
  </si>
  <si>
    <t xml:space="preserve">Kuvertier-Mailing, DIN-Lang, Panorama-Fensterhülle, Anschreiben, bis zu 3 Flyer</t>
  </si>
  <si>
    <t>datenblatt-kuvertiermailing-huelle-mit-panoramafenster.pdf</t>
  </si>
  <si>
    <t>PFH1000</t>
  </si>
  <si>
    <t>100.211</t>
  </si>
  <si>
    <t xml:space="preserve">Kuvertier-Mailing, DIN-Lang, Panorama-Fensterhülle, Anschreiben, bis zu 3 Flyer, Antwortkarte</t>
  </si>
  <si>
    <t>100.221</t>
  </si>
  <si>
    <t xml:space="preserve">Kuvertier-Mailing, DIN-Lang, Panorama-Fensterhülle, Anschreiben, Broschüre</t>
  </si>
  <si>
    <t>100.231</t>
  </si>
  <si>
    <t xml:space="preserve">Kuvertier-Mailing, DIN-Lang, Panorama-Fensterhülle, Anschreiben, Broschüre, Antwortkarte</t>
  </si>
  <si>
    <t xml:space="preserve">Hülle ohne Fenster</t>
  </si>
  <si>
    <t xml:space="preserve">- Personalisierung der Hülle
Optionale Inhaltsteile:
Broschüre, Flyer, Antwortkarte</t>
  </si>
  <si>
    <t xml:space="preserve">bis zu 3 Flyer</t>
  </si>
  <si>
    <t>100.301</t>
  </si>
  <si>
    <t xml:space="preserve">Kuvertier-Mailing, DIN-Lang, Hülle ohne Fenster, bis zu 3 Flyer</t>
  </si>
  <si>
    <t>datenblatt-kuvertiermailing-ohne-fenster.pdf</t>
  </si>
  <si>
    <t>HOF1000</t>
  </si>
  <si>
    <t xml:space="preserve">bis zu 3 Flyer + Antwortkarte</t>
  </si>
  <si>
    <t>100.311</t>
  </si>
  <si>
    <t xml:space="preserve">Kuvertier-Mailing, DIN-Lang, Hülle ohne Fenster, bis zu 3 Flyer, Antwortkarte</t>
  </si>
  <si>
    <t>100.321</t>
  </si>
  <si>
    <t xml:space="preserve">Kuvertier-Mailing, DIN-Lang, Hülle ohne Fenster, Broschüre</t>
  </si>
  <si>
    <t xml:space="preserve">Broschüre + Antwortkarte</t>
  </si>
  <si>
    <t>100.331</t>
  </si>
  <si>
    <t xml:space="preserve">Kuvertier-Mailing, DIN-Lang, Hülle ohne Fenster, Broschüre, Antwortkarte</t>
  </si>
  <si>
    <t>DIN-C4-Mailing</t>
  </si>
  <si>
    <t xml:space="preserve">Format: 324 x 229 mm</t>
  </si>
  <si>
    <t xml:space="preserve">- Personalisiertes Anschreiben
Optionale Inhaltsteile:
Broschüre, Flyer</t>
  </si>
  <si>
    <t>140.101</t>
  </si>
  <si>
    <t xml:space="preserve">Kuvertier-Mailing, DIN-C4, Fensterhülle, Anschreiben, bis zu 3 Flyer</t>
  </si>
  <si>
    <t>FH1400</t>
  </si>
  <si>
    <t>A1400</t>
  </si>
  <si>
    <t>F1400</t>
  </si>
  <si>
    <t xml:space="preserve">324 x 229 mm</t>
  </si>
  <si>
    <t>D</t>
  </si>
  <si>
    <t>140.131</t>
  </si>
  <si>
    <t xml:space="preserve">Kuvertier-Mailing, DIN-C4, Fensterhülle, Anschreiben, Broschüre</t>
  </si>
  <si>
    <t>B1400</t>
  </si>
  <si>
    <t xml:space="preserve">- Personalisierung der Hülle
Optionale Inhaltsteile:
Broschüre, Flyer</t>
  </si>
  <si>
    <t>140.501</t>
  </si>
  <si>
    <t xml:space="preserve">Kuvertier-Mailing, DIN-C4, Hülle ohne Fenster, bis zu 3 Flyer</t>
  </si>
  <si>
    <t>HOF1400</t>
  </si>
  <si>
    <t>140.531</t>
  </si>
  <si>
    <t xml:space="preserve">Kuvertier-Mailing, DIN-C4, Hülle ohne Fenster, Broschüre</t>
  </si>
  <si>
    <t>Selfmailer</t>
  </si>
  <si>
    <t xml:space="preserve">Die modernen Allrounder. Selfmailer kommen ohne Versandhülle aus, 
sie verschließen sich, wie von selbst, mit Klebepunkten oder Etiketten.
Selfmailer bieten viel Platz für Ihre Inhalte, sind natürlich personalisierbar
und kommen zum Einsatz als Teaser, Newsletter, Broschüren oder kleine Kataloge.</t>
  </si>
  <si>
    <t xml:space="preserve">DIN-Lang-Selfmailer LEVI</t>
  </si>
  <si>
    <t xml:space="preserve">Allseits beliebt !
● Endformat: 210 x 100/105 mm
● 4 - 12 Seiten</t>
  </si>
  <si>
    <t>200.101</t>
  </si>
  <si>
    <t xml:space="preserve">DIN-Lang-Selfmailer LEVI, 4 Seiten, 210 x 210, gefalzt auf 210 x 105, 4/4-fbg., matt Bilderdruck, mit ablösb. Leim oder transp. perforierten Etiketten verschlossen</t>
  </si>
  <si>
    <t>datenblatt-selfmailer-levi.pdf</t>
  </si>
  <si>
    <t xml:space="preserve">210 x 105 mm</t>
  </si>
  <si>
    <t xml:space="preserve">210 x 210 mm</t>
  </si>
  <si>
    <t xml:space="preserve">4 Seiten</t>
  </si>
  <si>
    <t>Bilderdruck</t>
  </si>
  <si>
    <t xml:space="preserve">170 g/m²</t>
  </si>
  <si>
    <t xml:space="preserve"> matt</t>
  </si>
  <si>
    <t xml:space="preserve"> 4/4-farbig Euroskala</t>
  </si>
  <si>
    <t>Euroskala</t>
  </si>
  <si>
    <t xml:space="preserve">Mittelfalz auf DIN lang, mit ablösb. Leim oder transp. perforierten Etiketten verschlossen</t>
  </si>
  <si>
    <t>Ohne</t>
  </si>
  <si>
    <t>Ja</t>
  </si>
  <si>
    <t>WmD</t>
  </si>
  <si>
    <t>200.111</t>
  </si>
  <si>
    <t xml:space="preserve">250 g/m²</t>
  </si>
  <si>
    <t>200.201</t>
  </si>
  <si>
    <t xml:space="preserve">DIN-Lang-Selfmailer LEVI, 6 Seiten, 297 x 210, Wickelfalz auf 210 x 100, 4/4-fbg., matt Bilderdruck, mit ablösb. Leim oder transp. perforierten Etiketten verschlossen</t>
  </si>
  <si>
    <t xml:space="preserve">210 x 100 mm</t>
  </si>
  <si>
    <t xml:space="preserve">210 x 297 mm</t>
  </si>
  <si>
    <t xml:space="preserve">6 Seiten</t>
  </si>
  <si>
    <t xml:space="preserve">135 g/m²</t>
  </si>
  <si>
    <t xml:space="preserve">Wickelfalz auf DIN lang, mit ablösb. Leim oder transp. perforierten Etiketten verschlossen</t>
  </si>
  <si>
    <t>200.211</t>
  </si>
  <si>
    <t>200.221</t>
  </si>
  <si>
    <t xml:space="preserve">parallel zur letzten Seite</t>
  </si>
  <si>
    <t>200.231</t>
  </si>
  <si>
    <t>200.241</t>
  </si>
  <si>
    <t>200.301</t>
  </si>
  <si>
    <t xml:space="preserve">DIN-Lang-Selfmailer LEVI, 8 Seiten, 391 x 210, Wickelfalz auf 210 x 100, 4/4-fbg., matt Bilderdruck, mit ablösb. Leim oder transp. perforierten Etiketten verschlossen</t>
  </si>
  <si>
    <t xml:space="preserve">210 x 391 mm</t>
  </si>
  <si>
    <t xml:space="preserve">8 Seiten</t>
  </si>
  <si>
    <t>200.311</t>
  </si>
  <si>
    <t>200.321</t>
  </si>
  <si>
    <t>200.401</t>
  </si>
  <si>
    <t xml:space="preserve">DIN-Lang-Selfmailer LEVI, 10 Seiten, 482 x 210, Wickelfalz auf 210 x 100, 4/4-fbg., matt Bilderdruck, mit ablösb. Leim oder transp. perforierten Etiketten verschlossen</t>
  </si>
  <si>
    <t xml:space="preserve">210 x 482 mm</t>
  </si>
  <si>
    <t xml:space="preserve">10 Seiten</t>
  </si>
  <si>
    <t>200.411</t>
  </si>
  <si>
    <t>200.501</t>
  </si>
  <si>
    <t xml:space="preserve">DIN-Lang-Selfmailer LEVI, 12 Seiten, 580 x 210, Wickelfalz auf 210 x 100, 4/4-fbg., matt Bilderdruck, mit ablösb. Leim oder transp. perforierten Etiketten verschlossen</t>
  </si>
  <si>
    <t xml:space="preserve">210 x 580 mm</t>
  </si>
  <si>
    <t xml:space="preserve">12 Seiten</t>
  </si>
  <si>
    <t>200.511</t>
  </si>
  <si>
    <t>C</t>
  </si>
  <si>
    <t>Maxi-Selfmailer  INATA</t>
  </si>
  <si>
    <t xml:space="preserve">Maximales Standardformat !
● Endformat: 235 x 125 mm
● 4 - 8 Seiten</t>
  </si>
  <si>
    <t>210.101</t>
  </si>
  <si>
    <t xml:space="preserve">Maxi-Selfmailer INATA, 4 Seiten, 250 x 235, gefalzt auf 235 x 125, 4/4-fbg., matt Bilderdruck, mit ablösb. Leim oder transp. perforierten Etiketten verschlossen</t>
  </si>
  <si>
    <t>datenblatt-selfmailer-inata.pdf</t>
  </si>
  <si>
    <t xml:space="preserve">235 x 125 mm</t>
  </si>
  <si>
    <t xml:space="preserve">235 x 250 mm</t>
  </si>
  <si>
    <t xml:space="preserve">Mittelfalz, mit ablösb. Leim oder transp. perforierten Etiketten verschlossen</t>
  </si>
  <si>
    <t>210.111</t>
  </si>
  <si>
    <t>210.201</t>
  </si>
  <si>
    <t xml:space="preserve">Maxi-Selfmailer INATA, 6 Seiten, 372 x 235, Wickelfalz auf 235 x 125, 4/4-fbg., matt Bilderdruck, mit ablösb. Leim oder transp. perforierten Etiketten verschlossen</t>
  </si>
  <si>
    <t xml:space="preserve">235 x 372 mm</t>
  </si>
  <si>
    <t xml:space="preserve">Wickelfalz, mit ablösb. Leim oder transp. perforierten Etiketten verschlossen</t>
  </si>
  <si>
    <t>210.211</t>
  </si>
  <si>
    <t>210.221</t>
  </si>
  <si>
    <t>210.301</t>
  </si>
  <si>
    <t xml:space="preserve">Maxi-Selfmailer INATA, 8 Seiten, 491 x 235, Wickelfalz auf 235 x 125, 4/4-fbg., matt Bilderdruck, mit ablösb. Leim oder transp. perforierten Etiketten verschlossen</t>
  </si>
  <si>
    <t xml:space="preserve">235 x 491 mm</t>
  </si>
  <si>
    <t xml:space="preserve">Maxi-Selfmailer mit Klappe ALBA</t>
  </si>
  <si>
    <t xml:space="preserve">Große Klappe, viel dahinter !
● Endformat: 235 x 125 mm
● 6 - 8 Seiten</t>
  </si>
  <si>
    <t>220.101</t>
  </si>
  <si>
    <t xml:space="preserve">Maxi-Selfmailer mit Klappe ALBA, 6 Seiten, 402 x 235, Wickelfalz auf 235 x 125, 4/4-fbg., matt Bilderdruck, Klappe an langer Seite mit Leim verschlossen</t>
  </si>
  <si>
    <t xml:space="preserve">235 x 402 mm</t>
  </si>
  <si>
    <t xml:space="preserve"> 6 Seiten + Klappe</t>
  </si>
  <si>
    <t xml:space="preserve">Wickelfalz, Klappe mit ablösb. Leim verschlossen</t>
  </si>
  <si>
    <t>Lindhauer</t>
  </si>
  <si>
    <t>220.111</t>
  </si>
  <si>
    <t>220.121</t>
  </si>
  <si>
    <t>220.131</t>
  </si>
  <si>
    <t>220.201</t>
  </si>
  <si>
    <t xml:space="preserve">Maxi-Selfmailer mit Klappe ALBA, 8 Seiten, 520 x 235, Wickelfalz auf 235 x 125, 4/4-fbg., matt Bilderdruck, Klappe an langer Seite mit Leim verschlossen</t>
  </si>
  <si>
    <t xml:space="preserve">235 x 520 mm</t>
  </si>
  <si>
    <t xml:space="preserve"> 8 Seiten + Klappe</t>
  </si>
  <si>
    <t>220.211</t>
  </si>
  <si>
    <t>220.221</t>
  </si>
  <si>
    <t>220.231</t>
  </si>
  <si>
    <t xml:space="preserve">DIN-A6-Selfmailer MIKRO</t>
  </si>
  <si>
    <t xml:space="preserve">Klein aber Fein !
● Endformat: 148 x 105 mm
● 4 - 8 Seiten</t>
  </si>
  <si>
    <t>230.101</t>
  </si>
  <si>
    <t xml:space="preserve">DIN-A6-Selfmailer MIKRO, 4 Seiten, 210 x 148, gefalzt auf 105 x 148, 4/4-fbg., matt Bilderdruck, mit ablösb. Leim oder transp. perforierten Etiketten verschlossen</t>
  </si>
  <si>
    <t xml:space="preserve">148 x 105 mm</t>
  </si>
  <si>
    <t xml:space="preserve">148 x 210 mm</t>
  </si>
  <si>
    <t>230.111</t>
  </si>
  <si>
    <t>230.121</t>
  </si>
  <si>
    <t>230.131</t>
  </si>
  <si>
    <t>230.201</t>
  </si>
  <si>
    <t xml:space="preserve">DIN-A6-Selfmailer MIKRO, 6 Seiten, 313 x 148, Wickelfalz auf 105 x 148, 4/4-fbg., matt Bilderdruck, mit ablösb. Leim oder transp. perforierten Etiketten verschlossen</t>
  </si>
  <si>
    <t xml:space="preserve">148 x 313 mm</t>
  </si>
  <si>
    <t>230.211</t>
  </si>
  <si>
    <t>230.221</t>
  </si>
  <si>
    <t>230.231</t>
  </si>
  <si>
    <t>230.241</t>
  </si>
  <si>
    <t>230.301</t>
  </si>
  <si>
    <t xml:space="preserve">DIN-A6-Selfmailer MIKRO, 8 Seiten, 414 x 148, Wickelfalz auf 105 x 148, 4/4-fbg., matt Bilderdruck, mit ablösb. Leim oder transp. perforierten Etiketten verschlossen</t>
  </si>
  <si>
    <t xml:space="preserve">148 x 414 mm</t>
  </si>
  <si>
    <t>230.311</t>
  </si>
  <si>
    <t xml:space="preserve">DIN-A5-Selfmailer MEGALO</t>
  </si>
  <si>
    <t xml:space="preserve">Der Große mit viel Platz !
● Endformat: 210 x 148 mm
● 4 - 8 Seiten</t>
  </si>
  <si>
    <t>240.101</t>
  </si>
  <si>
    <t xml:space="preserve">DIN-A5-Selfmailer MEGALO, 4 Seiten, 296 x 210, gefalzt auf 148 x 210, 4/4-fbg., matt Bilderdruck, mit ablösb. Leim oder transp. perforierten Etiketten verschlossen</t>
  </si>
  <si>
    <t xml:space="preserve">210 x 148 mm</t>
  </si>
  <si>
    <t xml:space="preserve">210 x 296 mm</t>
  </si>
  <si>
    <t>240.111</t>
  </si>
  <si>
    <t/>
  </si>
  <si>
    <t>240.201</t>
  </si>
  <si>
    <t xml:space="preserve">DIN-A5-Selfmailer MEGALO, 6 Seiten, 442 x 210, gefalzt auf 148 x 210, 4/4-fbg., matt Bilderdruck, mit ablösb. Leim oder transp. perforierten Etiketten verschlossen</t>
  </si>
  <si>
    <t xml:space="preserve">210 x 442 mm</t>
  </si>
  <si>
    <t>240.211</t>
  </si>
  <si>
    <t>240.221</t>
  </si>
  <si>
    <t>240.301</t>
  </si>
  <si>
    <t xml:space="preserve">DIN-A5-Selfmailer MEGALO, 8 Seiten, 586 x 210, gefalzt auf 148 x 210, 4/4-fbg., matt Bilderdruck, mit ablösb. Leim oder transp. perforierten Etiketten verschlossen</t>
  </si>
  <si>
    <t xml:space="preserve">210 x 586 mm</t>
  </si>
  <si>
    <t>240.311</t>
  </si>
  <si>
    <t>240.321</t>
  </si>
  <si>
    <t xml:space="preserve">DIN-Lang-Poster-Selfmailer ANDIGO</t>
  </si>
  <si>
    <t xml:space="preserve">Poster im DIN-A3-Format !
● Endformat: 210 x 100 mm
● 12 Seiten</t>
  </si>
  <si>
    <t>250.101</t>
  </si>
  <si>
    <t xml:space="preserve">DIN-Lang-Poster-Selfmailer ANDIGO, 12 Seiten, 420 x 297, gefalzt 210 x 100, 4/4-fbg., matt Bilderdruck, mit ablösb. transp. perforierten Etiketten verschlossen</t>
  </si>
  <si>
    <t xml:space="preserve">420 x 297 mm</t>
  </si>
  <si>
    <t xml:space="preserve">115 g/m²</t>
  </si>
  <si>
    <t xml:space="preserve">Kombifalz, mit transp. perforierten Etiketten verschlossen</t>
  </si>
  <si>
    <t>250.111</t>
  </si>
  <si>
    <t xml:space="preserve">DIN-A5-Poster-Selfmailer AFISA</t>
  </si>
  <si>
    <t xml:space="preserve">Der Große als Poster !
● Endformat: 210 x 148 mm
● 8 Seiten Kreuzfalz</t>
  </si>
  <si>
    <t>260.101</t>
  </si>
  <si>
    <t xml:space="preserve">DIN-A5-Poster-Selfmailer AFISA, 8 Seiten, 420 x 296, Kreuzfalz auf 148 x 210, 4/4-fbg., matt Bilderdruck, mit transp. perforierten Etiketten verschlossen</t>
  </si>
  <si>
    <t xml:space="preserve">420 x 296 mm</t>
  </si>
  <si>
    <t xml:space="preserve">Kreuzfalz, mit transp. perforierten Etiketten verschlossen</t>
  </si>
  <si>
    <t xml:space="preserve">DIN-Lang-Minikatalog ALVARO</t>
  </si>
  <si>
    <t xml:space="preserve">Für jede Menge Information !
● Endformat: 210 x 105 mm
● 16 - 20 Seiten Rückendrahtheftung</t>
  </si>
  <si>
    <t>270.111</t>
  </si>
  <si>
    <t xml:space="preserve">DIN-lang-Minikatalog-Selfmailer ALVARO, 4 + 12 Seiten, 105 x 210, 4/4-fbg., matt Bilderdruck, Rückendrahtheftung, mit transp. perforierten Etiketten verschlossen</t>
  </si>
  <si>
    <t xml:space="preserve">16 (4 + 12) Seiten</t>
  </si>
  <si>
    <t xml:space="preserve">90 g/m²</t>
  </si>
  <si>
    <t>matt</t>
  </si>
  <si>
    <t xml:space="preserve">Rückendrahtheftung mit 2 Klammern, mit transp. perforierten Etiketten verschlossen</t>
  </si>
  <si>
    <t>270.101</t>
  </si>
  <si>
    <t xml:space="preserve">DIN-lang-Minikatalog-Selfmailer ALVARO, 4 + 16 Seiten, 105 x 210, 4/4-fbg., matt Bilderdruck, Rückendrahtheftung, mit transp. perforierten Etiketten verschlossen</t>
  </si>
  <si>
    <t xml:space="preserve">20 (4 + 16) Seiten</t>
  </si>
  <si>
    <t xml:space="preserve">Unser Bestseller ! LEVI</t>
  </si>
  <si>
    <t xml:space="preserve">Genial  Einfach  Erfolgreich !
● Endformat: 210 x 100 mm
● Offenes Format: 210 x 297 mm
● 6 Seiten Wickelfalz
● 4/4-farbig Euroskala
● 135g matt Bilderdruck</t>
  </si>
  <si>
    <t>290.101</t>
  </si>
  <si>
    <t>Kartenmailing</t>
  </si>
  <si>
    <t xml:space="preserve">Die Rückbesinnung auf das Postkartenmailing ist allgegenwärtig. Mit einfacher Botschaft und einem visuell ansprechenden Design sorgt die Karte dafür, dass Empfänger sie betrachten. Kartenmailings sind schnell verarbeitet, kostengünstig und auf direktem Weg zu Ihren Kunden. Sie verzichten auf Versandhüllen, sind leicht und optimal geeignet für Einladungen, Gutscheine oder um sich in Erinnerung zu rufen. </t>
  </si>
  <si>
    <t xml:space="preserve">Postkarte DIN-Lang (210x98)</t>
  </si>
  <si>
    <t>300.101</t>
  </si>
  <si>
    <t xml:space="preserve">Postkarte DIN-Lang, 2 Seiten, 210 x 98 mm, 4/4-farbig</t>
  </si>
  <si>
    <t xml:space="preserve">210 x 98 mm</t>
  </si>
  <si>
    <t xml:space="preserve">2 Seiten</t>
  </si>
  <si>
    <t xml:space="preserve">260 g/m² Chromokarton mit 1,4-fachem Volumen VS glänzend RS matt</t>
  </si>
  <si>
    <t>A</t>
  </si>
  <si>
    <t>300.111</t>
  </si>
  <si>
    <t xml:space="preserve">UV-Lack Vorderseite</t>
  </si>
  <si>
    <t>300.121</t>
  </si>
  <si>
    <t xml:space="preserve">300 g/m² Chromokarton mit 1,4-fachem Volumen VS glänzend RS matt</t>
  </si>
  <si>
    <t>300.131</t>
  </si>
  <si>
    <t>300.141</t>
  </si>
  <si>
    <t xml:space="preserve">300 g/m² Bilderdruck glänzend</t>
  </si>
  <si>
    <t>300.151</t>
  </si>
  <si>
    <t>300.161</t>
  </si>
  <si>
    <t xml:space="preserve">350 g/m² Bilderdruck matt</t>
  </si>
  <si>
    <t>300.171</t>
  </si>
  <si>
    <t xml:space="preserve">Postkarte DIN-Lang (210x105)</t>
  </si>
  <si>
    <t>310.101</t>
  </si>
  <si>
    <t xml:space="preserve">Postkarte DIN-Lang, 2 Seiten, 210 x 105 mm, 4/4-farbig</t>
  </si>
  <si>
    <t>310.111</t>
  </si>
  <si>
    <t>310.121</t>
  </si>
  <si>
    <t>310.131</t>
  </si>
  <si>
    <t>310.141</t>
  </si>
  <si>
    <t>310.151</t>
  </si>
  <si>
    <t>310.161</t>
  </si>
  <si>
    <t>310.171</t>
  </si>
  <si>
    <t xml:space="preserve">Postkarte Maxi (235x125)</t>
  </si>
  <si>
    <t>320.101</t>
  </si>
  <si>
    <t xml:space="preserve">Postkarte Maxi, 2 Seiten, 235 x 125 mm, 4/4-farbig</t>
  </si>
  <si>
    <t>320.111</t>
  </si>
  <si>
    <t>320.121</t>
  </si>
  <si>
    <t>320.131</t>
  </si>
  <si>
    <t>320.141</t>
  </si>
  <si>
    <t>320.151</t>
  </si>
  <si>
    <t>320.161</t>
  </si>
  <si>
    <t>320.171</t>
  </si>
  <si>
    <t xml:space="preserve">Postkarte DIN A6 (148x105)</t>
  </si>
  <si>
    <t>330.101</t>
  </si>
  <si>
    <t xml:space="preserve">Postkarte DIN A6, 2 Seiten, 148 x 105 mm, 4/4-farbig</t>
  </si>
  <si>
    <t>330.111</t>
  </si>
  <si>
    <t>330.121</t>
  </si>
  <si>
    <t>330.131</t>
  </si>
  <si>
    <t>330.141</t>
  </si>
  <si>
    <t>330.151</t>
  </si>
  <si>
    <t>330.161</t>
  </si>
  <si>
    <t>330.171</t>
  </si>
  <si>
    <t xml:space="preserve">Postkarte DIN A5  (210x148)</t>
  </si>
  <si>
    <t>340.101</t>
  </si>
  <si>
    <t xml:space="preserve">Postkarte DIN A5, 2 Seiten, 210 x 148 mm, 4/4-farbig</t>
  </si>
  <si>
    <t>340.111</t>
  </si>
  <si>
    <t>340.121</t>
  </si>
  <si>
    <t>340.131</t>
  </si>
  <si>
    <t>340.141</t>
  </si>
  <si>
    <t>340.151</t>
  </si>
  <si>
    <t>340.161</t>
  </si>
  <si>
    <t>340.171</t>
  </si>
  <si>
    <t xml:space="preserve">Postkarte DIN A4  (297x210)</t>
  </si>
  <si>
    <t>350.101</t>
  </si>
  <si>
    <t xml:space="preserve">Postkarte DIN A4, 2 Seiten, 297 x 210 mm, 4/4-farbig</t>
  </si>
  <si>
    <t xml:space="preserve">297 x 210 mm</t>
  </si>
  <si>
    <t>350.111</t>
  </si>
  <si>
    <t>350.121</t>
  </si>
  <si>
    <t>350.131</t>
  </si>
  <si>
    <t>350.141</t>
  </si>
  <si>
    <t>350.151</t>
  </si>
  <si>
    <t>350.161</t>
  </si>
  <si>
    <t>350.171</t>
  </si>
  <si>
    <t xml:space="preserve">Unser Bestseller ! Karte Maxi</t>
  </si>
  <si>
    <r>
      <rPr>
        <sz val="12"/>
        <color theme="1"/>
        <rFont val="Calibri"/>
      </rPr>
      <t>Genial  Einfach  Erfolgreich</t>
    </r>
    <r>
      <rPr>
        <sz val="12"/>
        <color theme="1"/>
        <rFont val="Calibri"/>
        <scheme val="minor"/>
      </rPr>
      <t xml:space="preserve">
● 235 x 125 mm
● Extra steifer Chromokarton
● VS glänzend mit UV-Lack
● RS matt
● 4/4-farbig Euroskala</t>
    </r>
  </si>
  <si>
    <t>390.101</t>
  </si>
  <si>
    <t xml:space="preserve">Postkarte Maxi (Bestseller)   </t>
  </si>
  <si>
    <t xml:space="preserve">Kategorie ist bei Beilagen leer
</t>
  </si>
  <si>
    <t xml:space="preserve">Angaben zur Portoberechnung</t>
  </si>
  <si>
    <t>Produkt-Gruppe</t>
  </si>
  <si>
    <t>Produkt-Name</t>
  </si>
  <si>
    <t>Produkt-Beschreibung</t>
  </si>
  <si>
    <t>Grammatur</t>
  </si>
  <si>
    <t>Versandklasse</t>
  </si>
  <si>
    <t xml:space="preserve">Abweichende LZ Standard</t>
  </si>
  <si>
    <t xml:space="preserve">Abweichende LZ Express</t>
  </si>
  <si>
    <t>FH1100.101</t>
  </si>
  <si>
    <t xml:space="preserve">Fensterhülle DIN C6/5</t>
  </si>
  <si>
    <t>Offset</t>
  </si>
  <si>
    <t xml:space="preserve">75 g/m²</t>
  </si>
  <si>
    <t>unbedruckt</t>
  </si>
  <si>
    <t>F&amp;P</t>
  </si>
  <si>
    <t>FH1100.111</t>
  </si>
  <si>
    <t xml:space="preserve">1/0-farbig Schwarz</t>
  </si>
  <si>
    <t>Schwarz</t>
  </si>
  <si>
    <t>Flyeralarm</t>
  </si>
  <si>
    <t>FH1100.121</t>
  </si>
  <si>
    <t xml:space="preserve">1/1-farbig Schwarz</t>
  </si>
  <si>
    <t>FH1100.131</t>
  </si>
  <si>
    <t xml:space="preserve">4/0-farbig Euroskala</t>
  </si>
  <si>
    <t>FH1100.141</t>
  </si>
  <si>
    <t xml:space="preserve">4/4-farbig Euroskala</t>
  </si>
  <si>
    <t xml:space="preserve">Panorama-Fensterhülle </t>
  </si>
  <si>
    <t>PFH1100.101</t>
  </si>
  <si>
    <t xml:space="preserve">Panorama-Fensterhülle DIN C6/5</t>
  </si>
  <si>
    <t xml:space="preserve">100 g/m²</t>
  </si>
  <si>
    <t>Schnaudt</t>
  </si>
  <si>
    <t>PFH1100.111</t>
  </si>
  <si>
    <t>PFH1100.121</t>
  </si>
  <si>
    <t>HOF1100.101</t>
  </si>
  <si>
    <t xml:space="preserve">Hülle ohne Fenster DIN C6/5</t>
  </si>
  <si>
    <t>HOF1100.111</t>
  </si>
  <si>
    <t>HOF1100.121</t>
  </si>
  <si>
    <t>HOF1100.131</t>
  </si>
  <si>
    <t>HOF1100.141</t>
  </si>
  <si>
    <t>A1100.101</t>
  </si>
  <si>
    <t xml:space="preserve">Anschreiben DIN A4</t>
  </si>
  <si>
    <t xml:space="preserve">bis 4/4-farbig Euroskala
80g oder 90g Offset</t>
  </si>
  <si>
    <t xml:space="preserve">80 g/m²</t>
  </si>
  <si>
    <t xml:space="preserve">Wickelfalz auf DIN lang</t>
  </si>
  <si>
    <t>A1100.111</t>
  </si>
  <si>
    <t>A1100.121</t>
  </si>
  <si>
    <t xml:space="preserve">4/1-farbig Euroskala/Schwarz</t>
  </si>
  <si>
    <t>A1100.131</t>
  </si>
  <si>
    <t>A1100.141</t>
  </si>
  <si>
    <t>A1100.151</t>
  </si>
  <si>
    <t>A1100.161</t>
  </si>
  <si>
    <t>A1100.171</t>
  </si>
  <si>
    <t>A1100.181</t>
  </si>
  <si>
    <t>A1100.191</t>
  </si>
  <si>
    <t>F1100.101</t>
  </si>
  <si>
    <t xml:space="preserve">Flyer DIN lang</t>
  </si>
  <si>
    <t xml:space="preserve">Bis zu 3 verschiedene Flyer auswählen
2 bis 12 Seiten
105 x 210 mm oder 100 x 210 mm
4/4-farbig Euroskala
90g bis 250g Bilderdruck</t>
  </si>
  <si>
    <t xml:space="preserve">105 x 210 mm</t>
  </si>
  <si>
    <t>F1100.111</t>
  </si>
  <si>
    <t>glänzend</t>
  </si>
  <si>
    <t>F1100.121</t>
  </si>
  <si>
    <t>F1100.131</t>
  </si>
  <si>
    <t>F1100.141</t>
  </si>
  <si>
    <t xml:space="preserve">Mittelfalz auf DIN lang</t>
  </si>
  <si>
    <t>F1100.151</t>
  </si>
  <si>
    <t>F1100.161</t>
  </si>
  <si>
    <t>F1100.171</t>
  </si>
  <si>
    <t>F1100.181</t>
  </si>
  <si>
    <t>F1100.191</t>
  </si>
  <si>
    <t>F1100.201</t>
  </si>
  <si>
    <t>F1100.211</t>
  </si>
  <si>
    <t>F1100.221</t>
  </si>
  <si>
    <t xml:space="preserve">100 x 210 mm</t>
  </si>
  <si>
    <t>F1100.231</t>
  </si>
  <si>
    <t>F1100.241</t>
  </si>
  <si>
    <t>F1100.251</t>
  </si>
  <si>
    <t>F1100.261</t>
  </si>
  <si>
    <t>F1100.271</t>
  </si>
  <si>
    <t>F1100.281</t>
  </si>
  <si>
    <t>F1100.291</t>
  </si>
  <si>
    <t>F1100.301</t>
  </si>
  <si>
    <t xml:space="preserve">391 x 210 mm</t>
  </si>
  <si>
    <t>F1100.311</t>
  </si>
  <si>
    <t>F1100.321</t>
  </si>
  <si>
    <t>F1100.331</t>
  </si>
  <si>
    <t>F1100.341</t>
  </si>
  <si>
    <t>F1100.351</t>
  </si>
  <si>
    <t>F1100.361</t>
  </si>
  <si>
    <t>F1100.371</t>
  </si>
  <si>
    <t>F1100.381</t>
  </si>
  <si>
    <t xml:space="preserve">Kombifalz auf DIN lang</t>
  </si>
  <si>
    <t>F1100.391</t>
  </si>
  <si>
    <t>F1100.401</t>
  </si>
  <si>
    <t>F1100.411</t>
  </si>
  <si>
    <t>F1100.421</t>
  </si>
  <si>
    <t>F1100.431</t>
  </si>
  <si>
    <t>B1100.101</t>
  </si>
  <si>
    <t xml:space="preserve">Broschüre DIN lang</t>
  </si>
  <si>
    <t xml:space="preserve">16 bis 36 Seiten
105 x 210 mm
4/4-farbig Euroskala
Inhalt: 90g Bilderdruck
Umschlag: 170 g Bilderdruck
Rückendrahtheftung</t>
  </si>
  <si>
    <t xml:space="preserve">Rückendrahtheftung mit 2 Klammern</t>
  </si>
  <si>
    <t>B1100.111</t>
  </si>
  <si>
    <t>B1100.121</t>
  </si>
  <si>
    <t>B1100.131</t>
  </si>
  <si>
    <t>B1100.141</t>
  </si>
  <si>
    <t xml:space="preserve">24 (4 + 20) Seiten</t>
  </si>
  <si>
    <t>B1100.151</t>
  </si>
  <si>
    <t>B1100.161</t>
  </si>
  <si>
    <t xml:space="preserve">28 (4 + 24) Seiten</t>
  </si>
  <si>
    <t>B1100.171</t>
  </si>
  <si>
    <t>B1100.181</t>
  </si>
  <si>
    <t xml:space="preserve">32 (4 + 28) Seiten</t>
  </si>
  <si>
    <t>B1100.191</t>
  </si>
  <si>
    <t>B1100.201</t>
  </si>
  <si>
    <t xml:space="preserve">36 (4 + 32) Seiten</t>
  </si>
  <si>
    <t>B1100.211</t>
  </si>
  <si>
    <t>AK1100.101</t>
  </si>
  <si>
    <t xml:space="preserve">Antwortkarte DIN lang</t>
  </si>
  <si>
    <t xml:space="preserve">2 Seiten
99 x 210 oder 105 x 210 mm
4/4-farbig Euroskala
170g oder 250g Bilderdruck</t>
  </si>
  <si>
    <t xml:space="preserve">210 x 99 mm</t>
  </si>
  <si>
    <t>AK1100.111</t>
  </si>
  <si>
    <t>AK1100.121</t>
  </si>
  <si>
    <t>AK1100.131</t>
  </si>
  <si>
    <t>AK1100.141</t>
  </si>
  <si>
    <t>AK1100.151</t>
  </si>
  <si>
    <t>AK1100.161</t>
  </si>
  <si>
    <t>AK1100.171</t>
  </si>
  <si>
    <t>FH1400.101</t>
  </si>
  <si>
    <t xml:space="preserve">Fensterhülle DIN C4</t>
  </si>
  <si>
    <t>FH1400.111</t>
  </si>
  <si>
    <t>Kuvertexpress</t>
  </si>
  <si>
    <t>FH1400.121</t>
  </si>
  <si>
    <t>FH1400.131</t>
  </si>
  <si>
    <t>FH1400.141</t>
  </si>
  <si>
    <t>HOF1400.101</t>
  </si>
  <si>
    <t xml:space="preserve">Hülle ohne Fenster DIN C4</t>
  </si>
  <si>
    <t>HOF1400.111</t>
  </si>
  <si>
    <t>HOF1400.121</t>
  </si>
  <si>
    <t>HOF1400.131</t>
  </si>
  <si>
    <t>HOF1400.141</t>
  </si>
  <si>
    <t>A1400.101</t>
  </si>
  <si>
    <t>A1400.111</t>
  </si>
  <si>
    <t>A1400.121</t>
  </si>
  <si>
    <t>A1400.131</t>
  </si>
  <si>
    <t>A1400.141</t>
  </si>
  <si>
    <t>A1400.151</t>
  </si>
  <si>
    <t>A1400.161</t>
  </si>
  <si>
    <t>A1400.171</t>
  </si>
  <si>
    <t>A1400.181</t>
  </si>
  <si>
    <t>A1400.191</t>
  </si>
  <si>
    <t>F1400.101</t>
  </si>
  <si>
    <t xml:space="preserve">Flyer DIN A4</t>
  </si>
  <si>
    <t xml:space="preserve">Bis zu 3 verschiedene Flyer auswählen
2 bis 8 Seiten
4/4-farbig Euroskala
90g bis 250g Bilderdruck</t>
  </si>
  <si>
    <t>F1400.111</t>
  </si>
  <si>
    <t>F1400.121</t>
  </si>
  <si>
    <t>F1400.131</t>
  </si>
  <si>
    <t>F1400.141</t>
  </si>
  <si>
    <t>F1400.151</t>
  </si>
  <si>
    <t>F1400.201</t>
  </si>
  <si>
    <t xml:space="preserve">Mittelfalz auf DIN A4</t>
  </si>
  <si>
    <t>F1400.211</t>
  </si>
  <si>
    <t>F1400.221</t>
  </si>
  <si>
    <t>F1400.231</t>
  </si>
  <si>
    <t>F1400.241</t>
  </si>
  <si>
    <t>F1400.251</t>
  </si>
  <si>
    <t>F1400.301</t>
  </si>
  <si>
    <t xml:space="preserve">628 x 297 mm</t>
  </si>
  <si>
    <t xml:space="preserve">Wickelfalz auf DIN A4</t>
  </si>
  <si>
    <t>F1400.311</t>
  </si>
  <si>
    <t>F1400.321</t>
  </si>
  <si>
    <t>F1400.331</t>
  </si>
  <si>
    <t>F1400.341</t>
  </si>
  <si>
    <t>F1400.351</t>
  </si>
  <si>
    <t>F1400.401</t>
  </si>
  <si>
    <t xml:space="preserve">840 x 297 mm</t>
  </si>
  <si>
    <t xml:space="preserve">Doppelparallelfalz auf DIN A4</t>
  </si>
  <si>
    <t>F1400.411</t>
  </si>
  <si>
    <t>F1400.421</t>
  </si>
  <si>
    <t>F1400.431</t>
  </si>
  <si>
    <t>F1400.441</t>
  </si>
  <si>
    <t>F1400.451</t>
  </si>
  <si>
    <t>B1400.101</t>
  </si>
  <si>
    <t xml:space="preserve">Broschüre DIN A4</t>
  </si>
  <si>
    <t xml:space="preserve">8 bis 32 Seiten
4/4-farbig Euroskala
Inhalt: 90g bis 135g Bilderdruck
Umschlag: 90g bis 250 g Bilderdruck
Rückendrahtheftung</t>
  </si>
  <si>
    <t xml:space="preserve">8 (4 + 4) Seiten</t>
  </si>
  <si>
    <t>B1400.111</t>
  </si>
  <si>
    <t>B1400.121</t>
  </si>
  <si>
    <t>B1400.131</t>
  </si>
  <si>
    <t>B1400.141</t>
  </si>
  <si>
    <t>B1400.151</t>
  </si>
  <si>
    <t>B1400.201</t>
  </si>
  <si>
    <t xml:space="preserve">12 (4 + 8) Seiten</t>
  </si>
  <si>
    <t>B1400.211</t>
  </si>
  <si>
    <t>B1400.221</t>
  </si>
  <si>
    <t>B1400.231</t>
  </si>
  <si>
    <t>B1400.241</t>
  </si>
  <si>
    <t>B1400.251</t>
  </si>
  <si>
    <t>B1400.301</t>
  </si>
  <si>
    <t>B1400.311</t>
  </si>
  <si>
    <t>B1400.321</t>
  </si>
  <si>
    <t>B1400.331</t>
  </si>
  <si>
    <t>B1400.341</t>
  </si>
  <si>
    <t>B1400.351</t>
  </si>
  <si>
    <t>B1400.401</t>
  </si>
  <si>
    <t>B1400.411</t>
  </si>
  <si>
    <t>B1400.421</t>
  </si>
  <si>
    <t>B1400.431</t>
  </si>
  <si>
    <t>B1400.441</t>
  </si>
  <si>
    <t>B1400.451</t>
  </si>
  <si>
    <t>B1400.501</t>
  </si>
  <si>
    <t>B1400.511</t>
  </si>
  <si>
    <t>B1400.521</t>
  </si>
  <si>
    <t>B1400.531</t>
  </si>
  <si>
    <t>B1400.541</t>
  </si>
  <si>
    <t>B1400.551</t>
  </si>
  <si>
    <t>B1400.601</t>
  </si>
  <si>
    <t>B1400.611</t>
  </si>
  <si>
    <t>B1400.621</t>
  </si>
  <si>
    <t>B1400.631</t>
  </si>
  <si>
    <t>B1400.641</t>
  </si>
  <si>
    <t>B1400.651</t>
  </si>
  <si>
    <t>B1400.701</t>
  </si>
  <si>
    <t>B1400.711</t>
  </si>
  <si>
    <t>B1400.721</t>
  </si>
  <si>
    <t>B1400.731</t>
  </si>
  <si>
    <t>B1400.741</t>
  </si>
  <si>
    <t>B1400.751</t>
  </si>
  <si>
    <t xml:space="preserve">für alle: </t>
  </si>
  <si>
    <t>0-10.000</t>
  </si>
  <si>
    <t>Ergebnis</t>
  </si>
  <si>
    <t>10.001-50.000</t>
  </si>
  <si>
    <t>50.001-100.000</t>
  </si>
  <si>
    <t>Auflage</t>
  </si>
  <si>
    <t>Fix</t>
  </si>
  <si>
    <t xml:space="preserve">o/oo </t>
  </si>
  <si>
    <t>ges.</t>
  </si>
  <si>
    <t>g/qm</t>
  </si>
  <si>
    <t>L</t>
  </si>
  <si>
    <t xml:space="preserve">Dialogpost, Voraussetzung: Nur werbliche Inhalte!!</t>
  </si>
  <si>
    <t xml:space="preserve">Dialogpost ab 5.000 Sdg.</t>
  </si>
  <si>
    <t xml:space="preserve">***          Aufzahlung auf 5.000 Sdg.</t>
  </si>
  <si>
    <t xml:space="preserve">Sdg.-Gewicht in g</t>
  </si>
  <si>
    <t xml:space="preserve">Kosten pro Stück in €</t>
  </si>
  <si>
    <t xml:space="preserve">ab Auflage:</t>
  </si>
  <si>
    <t xml:space="preserve">A = Karte Standard (1) bis 235 x 125 x 0,5 mm</t>
  </si>
  <si>
    <t xml:space="preserve">bis 20</t>
  </si>
  <si>
    <t xml:space="preserve">B = Standard (2) bis 235 x 125 x 5 mm</t>
  </si>
  <si>
    <t xml:space="preserve">C = Standard (3) bis 235 x 125 x 5 mm</t>
  </si>
  <si>
    <t xml:space="preserve">21 - 50</t>
  </si>
  <si>
    <t xml:space="preserve">D = Groß (1) bis 353 x 250 x 30 mm</t>
  </si>
  <si>
    <t xml:space="preserve">bis 50</t>
  </si>
  <si>
    <t xml:space="preserve">E = Groß (2) bis 353 x 250 x 30 mm</t>
  </si>
  <si>
    <t xml:space="preserve">51 - 100</t>
  </si>
  <si>
    <t xml:space="preserve">F = Groß (3) bis 353 x 250 x 30 mm</t>
  </si>
  <si>
    <t xml:space="preserve">101 - 250</t>
  </si>
  <si>
    <t xml:space="preserve">G = Groß (4) bis 353 x 250 x 30 mm</t>
  </si>
  <si>
    <t xml:space="preserve">251 - 500</t>
  </si>
  <si>
    <t xml:space="preserve">H = Groß (5) bis 353 x 250 x 30 mm</t>
  </si>
  <si>
    <t xml:space="preserve">501 - 1.000</t>
  </si>
  <si>
    <t xml:space="preserve">DIALOGPOST EASY </t>
  </si>
  <si>
    <t xml:space="preserve">Zuschlag = 0,18 EUR je Sdg.</t>
  </si>
  <si>
    <t xml:space="preserve">Kleinmengen ab 500 bis 4.999 Sendungen</t>
  </si>
  <si>
    <t xml:space="preserve">*** Aber nur, wenn die Auflagen mit Aufzahlung auf 5.000 Ex.   n i c h t   erreicht werden !!!!</t>
  </si>
  <si>
    <t>Inhalt:</t>
  </si>
  <si>
    <t xml:space="preserve">Anz. Seiten:</t>
  </si>
  <si>
    <t xml:space="preserve">Breite in mm:</t>
  </si>
  <si>
    <t xml:space="preserve">Länge in mm:</t>
  </si>
  <si>
    <t>g/qm:</t>
  </si>
  <si>
    <t xml:space="preserve">Gewicht in g:</t>
  </si>
  <si>
    <t xml:space="preserve">Gewicht ges. I + U:</t>
  </si>
  <si>
    <t>Auflage:</t>
  </si>
  <si>
    <t xml:space="preserve">Porto je Ex.:</t>
  </si>
  <si>
    <t xml:space="preserve">Ges. Netto:</t>
  </si>
  <si>
    <t>↑</t>
  </si>
  <si>
    <t xml:space="preserve">Aufzhlg. ab</t>
  </si>
  <si>
    <t xml:space="preserve">Eingabe nur dort:</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</si>
</sst>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numFmts count="2">
    <numFmt numFmtId="164" formatCode="0.0"/>
    <numFmt numFmtId="165" formatCode="#,##0.00\ &quot;€&quot;;[Red]\-#,##0.00\ &quot;€&quot;"/>
  </numFmts>
  <fonts count="19">
    <font>
      <sz val="11.000000"/>
      <color theme="1"/>
      <name val="Calibri"/>
      <scheme val="minor"/>
    </font>
    <font>
      <sz val="12.000000"/>
      <color theme="4" tint="-0.249977111117893"/>
      <name val="Calibri"/>
      <scheme val="minor"/>
    </font>
    <font>
      <b/>
      <sz val="12.000000"/>
      <color theme="4" tint="-0.249977111117893"/>
      <name val="Calibri"/>
      <scheme val="minor"/>
    </font>
    <font>
      <b/>
      <sz val="12.000000"/>
      <color indexed="2"/>
      <name val="Calibri"/>
      <scheme val="minor"/>
    </font>
    <font>
      <b/>
      <sz val="11.000000"/>
      <color theme="4"/>
      <name val="Calibri"/>
      <scheme val="minor"/>
    </font>
    <font>
      <b/>
      <sz val="11.000000"/>
      <color indexed="2"/>
      <name val="Calibri"/>
      <scheme val="minor"/>
    </font>
    <font>
      <b/>
      <sz val="12.000000"/>
      <color theme="1"/>
      <name val="Calibri"/>
      <scheme val="minor"/>
    </font>
    <font>
      <b/>
      <sz val="12.000000"/>
      <name val="Calibri"/>
      <scheme val="minor"/>
    </font>
    <font>
      <sz val="12.000000"/>
      <color theme="1"/>
      <name val="Calibri"/>
      <scheme val="minor"/>
    </font>
    <font>
      <sz val="12.000000"/>
      <name val="Calibri"/>
      <scheme val="minor"/>
    </font>
    <font>
      <b/>
      <u/>
      <sz val="12.000000"/>
      <color theme="1"/>
      <name val="Calibri"/>
      <scheme val="minor"/>
    </font>
    <font>
      <b/>
      <u/>
      <sz val="12.000000"/>
      <name val="Calibri"/>
      <scheme val="minor"/>
    </font>
    <font>
      <sz val="12.000000"/>
      <color indexed="2"/>
      <name val="Calibri"/>
      <scheme val="minor"/>
    </font>
    <font>
      <sz val="11.000000"/>
      <color indexed="2"/>
      <name val="Calibri"/>
      <scheme val="minor"/>
    </font>
    <font>
      <b/>
      <sz val="12.000000"/>
      <color theme="4"/>
      <name val="Calibri"/>
      <scheme val="minor"/>
    </font>
    <font>
      <b/>
      <sz val="11.000000"/>
      <color theme="1"/>
      <name val="Calibri"/>
      <scheme val="minor"/>
    </font>
    <font>
      <b/>
      <u/>
      <sz val="11.000000"/>
      <color theme="1"/>
      <name val="Calibri"/>
      <scheme val="minor"/>
    </font>
    <font>
      <b/>
      <sz val="13.500000"/>
      <color theme="1"/>
      <name val="Calibri"/>
      <scheme val="minor"/>
    </font>
    <font>
      <sz val="11.000000"/>
      <color theme="1"/>
      <name val="Calibri"/>
    </font>
  </fonts>
  <fills count="8">
    <fill>
      <patternFill patternType="none"/>
    </fill>
    <fill>
      <patternFill patternType="gray125"/>
    </fill>
    <fill>
      <patternFill patternType="solid">
        <fgColor rgb="FF92D050"/>
      </patternFill>
    </fill>
    <fill>
      <patternFill patternType="solid">
        <fgColor theme="0"/>
      </patternFill>
    </fill>
    <fill>
      <patternFill patternType="solid">
        <fgColor theme="6" tint="0.79998168889431442"/>
      </patternFill>
    </fill>
    <fill>
      <patternFill patternType="solid">
        <fgColor indexed="43"/>
      </patternFill>
    </fill>
    <fill>
      <patternFill patternType="solid">
        <fgColor theme="0" tint="-0.049989318521683403"/>
      </patternFill>
    </fill>
    <fill>
      <patternFill patternType="solid">
        <fgColor indexed="5"/>
      </patternFill>
    </fill>
  </fills>
  <borders count="6">
    <border>
      <left style="none"/>
      <right style="none"/>
      <top style="none"/>
      <bottom style="none"/>
      <diagonal style="none"/>
    </border>
    <border>
      <left style="thin">
        <color auto="1"/>
      </left>
      <right style="thin">
        <color auto="1"/>
      </right>
      <top style="thin">
        <color auto="1"/>
      </top>
      <bottom style="thin">
        <color auto="1"/>
      </bottom>
      <diagonal style="none"/>
    </border>
    <border>
      <left style="none"/>
      <right style="none"/>
      <top style="none"/>
      <bottom style="thin">
        <color auto="1"/>
      </bottom>
      <diagonal style="none"/>
    </border>
    <border>
      <left style="none"/>
      <right style="none"/>
      <top style="thin">
        <color auto="1"/>
      </top>
      <bottom style="double">
        <color auto="1"/>
      </bottom>
      <diagonal style="none"/>
    </border>
    <border>
      <left style="medium">
        <color auto="1"/>
      </left>
      <right style="none"/>
      <top style="medium">
        <color auto="1"/>
      </top>
      <bottom style="medium">
        <color auto="1"/>
      </bottom>
      <diagonal style="none"/>
    </border>
    <border>
      <left style="none"/>
      <right style="medium">
        <color auto="1"/>
      </right>
      <top style="medium">
        <color auto="1"/>
      </top>
      <bottom style="medium">
        <color auto="1"/>
      </bottom>
      <diagonal style="none"/>
    </border>
  </borders>
  <cellStyleXfs count="1">
    <xf fontId="0" fillId="0" borderId="0" numFmtId="0" applyNumberFormat="1" applyFont="1" applyFill="1" applyBorder="1"/>
  </cellStyleXfs>
  <cellXfs count="209">
    <xf fontId="0" fillId="0" borderId="0" numFmtId="0" xfId="0"/>
    <xf fontId="0" fillId="0" borderId="1" numFmtId="0" xfId="0" applyBorder="1" applyAlignment="1">
      <alignment horizontal="right"/>
    </xf>
    <xf fontId="0" fillId="0" borderId="1" numFmtId="49" xfId="0" applyNumberFormat="1" applyBorder="1" applyAlignment="1">
      <alignment horizontal="right"/>
    </xf>
    <xf fontId="0" fillId="0" borderId="1" numFmtId="49" xfId="0" applyNumberFormat="1" applyBorder="1" applyAlignment="1">
      <alignment horizontal="left" vertical="top"/>
    </xf>
    <xf fontId="0" fillId="0" borderId="1" numFmtId="0" xfId="0" applyBorder="1" applyAlignment="1">
      <alignment horizontal="left"/>
    </xf>
    <xf fontId="0" fillId="2" borderId="1" numFmtId="0" xfId="0" applyFill="1" applyBorder="1" applyAlignment="1">
      <alignment horizontal="left"/>
    </xf>
    <xf fontId="0" fillId="3" borderId="1" numFmtId="0" xfId="0" applyFill="1" applyBorder="1" applyAlignment="1">
      <alignment horizontal="left"/>
    </xf>
    <xf fontId="0" fillId="0" borderId="1" numFmtId="0" xfId="0" applyBorder="1" applyAlignment="1">
      <alignment horizontal="center"/>
    </xf>
    <xf fontId="0" fillId="0" borderId="1" numFmtId="1" xfId="0" applyNumberFormat="1" applyBorder="1" applyAlignment="1">
      <alignment horizontal="right"/>
    </xf>
    <xf fontId="0" fillId="0" borderId="1" numFmtId="164" xfId="0" applyNumberFormat="1" applyBorder="1" applyAlignment="1">
      <alignment horizontal="right"/>
    </xf>
    <xf fontId="1" fillId="4" borderId="1" numFmtId="0" xfId="0" applyFont="1" applyFill="1" applyBorder="1" applyAlignment="1">
      <alignment horizontal="right"/>
    </xf>
    <xf fontId="1" fillId="4" borderId="1" numFmtId="49" xfId="0" applyNumberFormat="1" applyFont="1" applyFill="1" applyBorder="1" applyAlignment="1">
      <alignment horizontal="right"/>
    </xf>
    <xf fontId="1" fillId="4" borderId="1" numFmtId="49" xfId="0" applyNumberFormat="1" applyFont="1" applyFill="1" applyBorder="1" applyAlignment="1">
      <alignment horizontal="left" vertical="top"/>
    </xf>
    <xf fontId="1" fillId="4" borderId="1" numFmtId="0" xfId="0" applyFont="1" applyFill="1" applyBorder="1" applyAlignment="1">
      <alignment horizontal="left"/>
    </xf>
    <xf fontId="2" fillId="4" borderId="1" numFmtId="0" xfId="0" applyFont="1" applyFill="1" applyBorder="1" applyAlignment="1">
      <alignment horizontal="center" wrapText="1"/>
    </xf>
    <xf fontId="2" fillId="4" borderId="1" numFmtId="0" xfId="0" applyFont="1" applyFill="1" applyBorder="1" applyAlignment="1">
      <alignment horizontal="right" wrapText="1"/>
    </xf>
    <xf fontId="2" fillId="4" borderId="1" numFmtId="0" xfId="0" applyFont="1" applyFill="1" applyBorder="1" applyAlignment="1">
      <alignment horizontal="center" vertical="top" wrapText="1"/>
    </xf>
    <xf fontId="2" fillId="4" borderId="1" numFmtId="164" xfId="0" applyNumberFormat="1" applyFont="1" applyFill="1" applyBorder="1" applyAlignment="1">
      <alignment horizontal="center" wrapText="1"/>
    </xf>
    <xf fontId="3" fillId="4" borderId="1" numFmtId="0" xfId="0" applyFont="1" applyFill="1" applyBorder="1" applyAlignment="1">
      <alignment horizontal="center" wrapText="1"/>
    </xf>
    <xf fontId="4" fillId="4" borderId="1" numFmtId="0" xfId="0" applyFont="1" applyFill="1" applyBorder="1" applyAlignment="1">
      <alignment horizontal="right" vertical="center" wrapText="1"/>
    </xf>
    <xf fontId="4" fillId="4" borderId="1" numFmtId="49" xfId="0" applyNumberFormat="1" applyFont="1" applyFill="1" applyBorder="1" applyAlignment="1">
      <alignment horizontal="right" vertical="center" wrapText="1"/>
    </xf>
    <xf fontId="4" fillId="4" borderId="1" numFmtId="49" xfId="0" applyNumberFormat="1" applyFont="1" applyFill="1" applyBorder="1" applyAlignment="1">
      <alignment horizontal="left" vertical="top" wrapText="1"/>
    </xf>
    <xf fontId="4" fillId="4" borderId="1" numFmtId="0" xfId="0" applyFont="1" applyFill="1" applyBorder="1" applyAlignment="1">
      <alignment horizontal="left" vertical="center" wrapText="1"/>
    </xf>
    <xf fontId="4" fillId="4" borderId="1" numFmtId="0" xfId="0" applyFont="1" applyFill="1" applyBorder="1" applyAlignment="1">
      <alignment horizontal="center" vertical="center" wrapText="1"/>
    </xf>
    <xf fontId="4" fillId="4" borderId="1" numFmtId="1" xfId="0" applyNumberFormat="1" applyFont="1" applyFill="1" applyBorder="1" applyAlignment="1">
      <alignment horizontal="center" vertical="center" wrapText="1"/>
    </xf>
    <xf fontId="4" fillId="4" borderId="1" numFmtId="164" xfId="0" applyNumberFormat="1" applyFont="1" applyFill="1" applyBorder="1" applyAlignment="1">
      <alignment horizontal="center" vertical="center" wrapText="1"/>
    </xf>
    <xf fontId="5" fillId="4" borderId="1" numFmtId="0" xfId="0" applyFont="1" applyFill="1" applyBorder="1" applyAlignment="1">
      <alignment horizontal="center" vertical="center" wrapText="1"/>
    </xf>
    <xf fontId="6" fillId="4" borderId="1" numFmtId="0" xfId="0" applyFont="1" applyFill="1" applyBorder="1" applyAlignment="1">
      <alignment horizontal="right" wrapText="1"/>
    </xf>
    <xf fontId="6" fillId="4" borderId="1" numFmtId="49" xfId="0" applyNumberFormat="1" applyFont="1" applyFill="1" applyBorder="1" applyAlignment="1">
      <alignment horizontal="right" wrapText="1"/>
    </xf>
    <xf fontId="6" fillId="4" borderId="1" numFmtId="49" xfId="0" applyNumberFormat="1" applyFont="1" applyFill="1" applyBorder="1" applyAlignment="1">
      <alignment horizontal="left" vertical="top" wrapText="1"/>
    </xf>
    <xf fontId="6" fillId="4" borderId="1" numFmtId="0" xfId="0" applyFont="1" applyFill="1" applyBorder="1" applyAlignment="1">
      <alignment horizontal="left" wrapText="1"/>
    </xf>
    <xf fontId="7" fillId="4" borderId="1" numFmtId="0" xfId="0" applyFont="1" applyFill="1" applyBorder="1" applyAlignment="1">
      <alignment horizontal="left" wrapText="1"/>
    </xf>
    <xf fontId="7" fillId="4" borderId="1" numFmtId="0" xfId="0" applyFont="1" applyFill="1" applyBorder="1" applyAlignment="1">
      <alignment horizontal="right" wrapText="1"/>
    </xf>
    <xf fontId="7" fillId="4" borderId="1" numFmtId="0" xfId="0" applyFont="1" applyFill="1" applyBorder="1" applyAlignment="1">
      <alignment horizontal="center" wrapText="1"/>
    </xf>
    <xf fontId="6" fillId="4" borderId="1" numFmtId="1" xfId="0" applyNumberFormat="1" applyFont="1" applyFill="1" applyBorder="1" applyAlignment="1">
      <alignment horizontal="right" wrapText="1"/>
    </xf>
    <xf fontId="6" fillId="4" borderId="1" numFmtId="164" xfId="0" applyNumberFormat="1" applyFont="1" applyFill="1" applyBorder="1" applyAlignment="1">
      <alignment horizontal="right" wrapText="1"/>
    </xf>
    <xf fontId="3" fillId="4" borderId="1" numFmtId="0" xfId="0" applyFont="1" applyFill="1" applyBorder="1" applyAlignment="1">
      <alignment horizontal="right" wrapText="1"/>
    </xf>
    <xf fontId="6" fillId="2" borderId="1" numFmtId="0" xfId="0" applyFont="1" applyFill="1" applyBorder="1" applyAlignment="1">
      <alignment horizontal="right" wrapText="1"/>
    </xf>
    <xf fontId="6" fillId="2" borderId="1" numFmtId="49" xfId="0" applyNumberFormat="1" applyFont="1" applyFill="1" applyBorder="1" applyAlignment="1">
      <alignment horizontal="right" wrapText="1"/>
    </xf>
    <xf fontId="6" fillId="2" borderId="1" numFmtId="49" xfId="0" applyNumberFormat="1" applyFont="1" applyFill="1" applyBorder="1" applyAlignment="1">
      <alignment horizontal="left" wrapText="1"/>
    </xf>
    <xf fontId="6" fillId="2" borderId="1" numFmtId="49" xfId="0" applyNumberFormat="1" applyFont="1" applyFill="1" applyBorder="1" applyAlignment="1">
      <alignment horizontal="left" vertical="top" wrapText="1"/>
    </xf>
    <xf fontId="6" fillId="2" borderId="1" numFmtId="0" xfId="0" applyFont="1" applyFill="1" applyBorder="1" applyAlignment="1">
      <alignment horizontal="left" wrapText="1"/>
    </xf>
    <xf fontId="7" fillId="2" borderId="1" numFmtId="0" xfId="0" applyFont="1" applyFill="1" applyBorder="1" applyAlignment="1">
      <alignment horizontal="right" wrapText="1"/>
    </xf>
    <xf fontId="7" fillId="2" borderId="1" numFmtId="0" xfId="0" applyFont="1" applyFill="1" applyBorder="1" applyAlignment="1">
      <alignment horizontal="left" wrapText="1"/>
    </xf>
    <xf fontId="7" fillId="2" borderId="1" numFmtId="0" xfId="0" applyFont="1" applyFill="1" applyBorder="1" applyAlignment="1">
      <alignment horizontal="center" wrapText="1"/>
    </xf>
    <xf fontId="8" fillId="2" borderId="1" numFmtId="4" xfId="0" applyNumberFormat="1" applyFont="1" applyFill="1" applyBorder="1" applyAlignment="1">
      <alignment horizontal="right"/>
    </xf>
    <xf fontId="8" fillId="2" borderId="1" numFmtId="1" xfId="0" applyNumberFormat="1" applyFont="1" applyFill="1" applyBorder="1" applyAlignment="1">
      <alignment horizontal="right"/>
    </xf>
    <xf fontId="8" fillId="2" borderId="1" numFmtId="164" xfId="0" applyNumberFormat="1" applyFont="1" applyFill="1" applyBorder="1" applyAlignment="1">
      <alignment horizontal="right"/>
    </xf>
    <xf fontId="8" fillId="2" borderId="1" numFmtId="3" xfId="0" applyNumberFormat="1" applyFont="1" applyFill="1" applyBorder="1" applyAlignment="1">
      <alignment horizontal="right"/>
    </xf>
    <xf fontId="8" fillId="2" borderId="1" numFmtId="0" xfId="0" applyFont="1" applyFill="1" applyBorder="1" applyAlignment="1">
      <alignment horizontal="right"/>
    </xf>
    <xf fontId="8" fillId="2" borderId="1" numFmtId="2" xfId="0" applyNumberFormat="1" applyFont="1" applyFill="1" applyBorder="1" applyAlignment="1">
      <alignment horizontal="right"/>
    </xf>
    <xf fontId="8" fillId="0" borderId="1" numFmtId="0" xfId="0" applyFont="1" applyBorder="1" applyAlignment="1">
      <alignment horizontal="right"/>
    </xf>
    <xf fontId="8" fillId="0" borderId="1" numFmtId="3" xfId="0" applyNumberFormat="1" applyFont="1" applyBorder="1" applyAlignment="1">
      <alignment horizontal="right"/>
    </xf>
    <xf fontId="8" fillId="0" borderId="1" numFmtId="49" xfId="0" applyNumberFormat="1" applyFont="1" applyBorder="1" applyAlignment="1">
      <alignment horizontal="right"/>
    </xf>
    <xf fontId="8" fillId="0" borderId="1" numFmtId="49" xfId="0" applyNumberFormat="1" applyFont="1" applyBorder="1" applyAlignment="1">
      <alignment horizontal="left"/>
    </xf>
    <xf fontId="8" fillId="0" borderId="1" numFmtId="49" xfId="0" applyNumberFormat="1" applyFont="1" applyBorder="1" applyAlignment="1">
      <alignment horizontal="left" vertical="top"/>
    </xf>
    <xf fontId="8" fillId="0" borderId="1" numFmtId="49" xfId="0" applyNumberFormat="1" applyFont="1" applyBorder="1" applyAlignment="1">
      <alignment horizontal="left" wrapText="1"/>
    </xf>
    <xf fontId="8" fillId="0" borderId="1" numFmtId="0" xfId="0" applyFont="1" applyBorder="1" applyAlignment="1">
      <alignment horizontal="left"/>
    </xf>
    <xf fontId="9" fillId="0" borderId="1" numFmtId="0" xfId="0" applyFont="1" applyBorder="1" applyAlignment="1">
      <alignment horizontal="right"/>
    </xf>
    <xf fontId="9" fillId="0" borderId="1" numFmtId="0" xfId="0" applyFont="1" applyBorder="1" applyAlignment="1">
      <alignment horizontal="center"/>
    </xf>
    <xf fontId="9" fillId="0" borderId="1" numFmtId="3" xfId="0" applyNumberFormat="1" applyFont="1" applyBorder="1" applyAlignment="1">
      <alignment horizontal="right"/>
    </xf>
    <xf fontId="9" fillId="0" borderId="1" numFmtId="164" xfId="0" applyNumberFormat="1" applyFont="1" applyBorder="1" applyAlignment="1">
      <alignment horizontal="right"/>
    </xf>
    <xf fontId="8" fillId="0" borderId="1" numFmtId="4" xfId="0" applyNumberFormat="1" applyFont="1" applyBorder="1" applyAlignment="1">
      <alignment horizontal="right"/>
    </xf>
    <xf fontId="8" fillId="0" borderId="1" numFmtId="1" xfId="0" applyNumberFormat="1" applyFont="1" applyBorder="1" applyAlignment="1">
      <alignment horizontal="right"/>
    </xf>
    <xf fontId="8" fillId="0" borderId="1" numFmtId="164" xfId="0" applyNumberFormat="1" applyFont="1" applyBorder="1" applyAlignment="1">
      <alignment horizontal="right"/>
    </xf>
    <xf fontId="10" fillId="0" borderId="1" numFmtId="0" xfId="0" applyFont="1" applyBorder="1" applyAlignment="1">
      <alignment horizontal="right"/>
    </xf>
    <xf fontId="10" fillId="0" borderId="1" numFmtId="0" xfId="0" applyFont="1" applyBorder="1" applyAlignment="1">
      <alignment horizontal="left"/>
    </xf>
    <xf fontId="11" fillId="0" borderId="1" numFmtId="0" xfId="0" applyFont="1" applyBorder="1" applyAlignment="1">
      <alignment horizontal="right"/>
    </xf>
    <xf fontId="11" fillId="0" borderId="1" numFmtId="0" xfId="0" applyFont="1" applyBorder="1" applyAlignment="1">
      <alignment horizontal="center"/>
    </xf>
    <xf fontId="11" fillId="0" borderId="1" numFmtId="164" xfId="0" applyNumberFormat="1" applyFont="1" applyBorder="1" applyAlignment="1">
      <alignment horizontal="right"/>
    </xf>
    <xf fontId="10" fillId="5" borderId="1" numFmtId="0" xfId="0" applyFont="1" applyFill="1" applyBorder="1" applyAlignment="1">
      <alignment horizontal="right"/>
    </xf>
    <xf fontId="8" fillId="5" borderId="1" numFmtId="3" xfId="0" applyNumberFormat="1" applyFont="1" applyFill="1" applyBorder="1" applyAlignment="1">
      <alignment horizontal="right"/>
    </xf>
    <xf fontId="8" fillId="5" borderId="1" numFmtId="49" xfId="0" applyNumberFormat="1" applyFont="1" applyFill="1" applyBorder="1" applyAlignment="1">
      <alignment horizontal="right"/>
    </xf>
    <xf fontId="8" fillId="5" borderId="1" numFmtId="49" xfId="0" applyNumberFormat="1" applyFont="1" applyFill="1" applyBorder="1" applyAlignment="1">
      <alignment horizontal="left"/>
    </xf>
    <xf fontId="8" fillId="5" borderId="1" numFmtId="49" xfId="0" applyNumberFormat="1" applyFont="1" applyFill="1" applyBorder="1" applyAlignment="1">
      <alignment horizontal="left" vertical="top"/>
    </xf>
    <xf fontId="8" fillId="5" borderId="1" numFmtId="49" xfId="0" applyNumberFormat="1" applyFont="1" applyFill="1" applyBorder="1" applyAlignment="1">
      <alignment horizontal="left" wrapText="1"/>
    </xf>
    <xf fontId="8" fillId="5" borderId="1" numFmtId="0" xfId="0" applyFont="1" applyFill="1" applyBorder="1" applyAlignment="1">
      <alignment horizontal="right"/>
    </xf>
    <xf fontId="8" fillId="5" borderId="1" numFmtId="0" xfId="0" applyFont="1" applyFill="1" applyBorder="1" applyAlignment="1">
      <alignment horizontal="left"/>
    </xf>
    <xf fontId="10" fillId="5" borderId="1" numFmtId="0" xfId="0" applyFont="1" applyFill="1" applyBorder="1" applyAlignment="1">
      <alignment horizontal="left"/>
    </xf>
    <xf fontId="11" fillId="5" borderId="1" numFmtId="0" xfId="0" applyFont="1" applyFill="1" applyBorder="1" applyAlignment="1">
      <alignment horizontal="right"/>
    </xf>
    <xf fontId="11" fillId="5" borderId="1" numFmtId="0" xfId="0" applyFont="1" applyFill="1" applyBorder="1" applyAlignment="1">
      <alignment horizontal="center"/>
    </xf>
    <xf fontId="9" fillId="5" borderId="1" numFmtId="0" xfId="0" applyFont="1" applyFill="1" applyBorder="1" applyAlignment="1">
      <alignment horizontal="right"/>
    </xf>
    <xf fontId="9" fillId="5" borderId="1" numFmtId="3" xfId="0" applyNumberFormat="1" applyFont="1" applyFill="1" applyBorder="1" applyAlignment="1">
      <alignment horizontal="right"/>
    </xf>
    <xf fontId="11" fillId="5" borderId="1" numFmtId="164" xfId="0" applyNumberFormat="1" applyFont="1" applyFill="1" applyBorder="1" applyAlignment="1">
      <alignment horizontal="right"/>
    </xf>
    <xf fontId="8" fillId="5" borderId="1" numFmtId="4" xfId="0" applyNumberFormat="1" applyFont="1" applyFill="1" applyBorder="1" applyAlignment="1">
      <alignment horizontal="right"/>
    </xf>
    <xf fontId="8" fillId="5" borderId="1" numFmtId="1" xfId="0" applyNumberFormat="1" applyFont="1" applyFill="1" applyBorder="1" applyAlignment="1">
      <alignment horizontal="right"/>
    </xf>
    <xf fontId="8" fillId="5" borderId="1" numFmtId="164" xfId="0" applyNumberFormat="1" applyFont="1" applyFill="1" applyBorder="1" applyAlignment="1">
      <alignment horizontal="right"/>
    </xf>
    <xf fontId="10" fillId="5" borderId="1" numFmtId="1" xfId="0" applyNumberFormat="1" applyFont="1" applyFill="1" applyBorder="1" applyAlignment="1">
      <alignment horizontal="right"/>
    </xf>
    <xf fontId="10" fillId="5" borderId="1" numFmtId="164" xfId="0" applyNumberFormat="1" applyFont="1" applyFill="1" applyBorder="1" applyAlignment="1">
      <alignment horizontal="right"/>
    </xf>
    <xf fontId="10" fillId="0" borderId="1" numFmtId="1" xfId="0" applyNumberFormat="1" applyFont="1" applyBorder="1" applyAlignment="1">
      <alignment horizontal="right"/>
    </xf>
    <xf fontId="10" fillId="0" borderId="1" numFmtId="164" xfId="0" applyNumberFormat="1" applyFont="1" applyBorder="1" applyAlignment="1">
      <alignment horizontal="right"/>
    </xf>
    <xf fontId="9" fillId="5" borderId="1" numFmtId="49" xfId="0" applyNumberFormat="1" applyFont="1" applyFill="1" applyBorder="1" applyAlignment="1">
      <alignment horizontal="right"/>
    </xf>
    <xf fontId="9" fillId="5" borderId="1" numFmtId="49" xfId="0" applyNumberFormat="1" applyFont="1" applyFill="1" applyBorder="1" applyAlignment="1">
      <alignment horizontal="left"/>
    </xf>
    <xf fontId="9" fillId="5" borderId="1" numFmtId="49" xfId="0" applyNumberFormat="1" applyFont="1" applyFill="1" applyBorder="1" applyAlignment="1">
      <alignment horizontal="left" vertical="top"/>
    </xf>
    <xf fontId="9" fillId="5" borderId="1" numFmtId="0" xfId="0" applyFont="1" applyFill="1" applyBorder="1" applyAlignment="1">
      <alignment horizontal="left"/>
    </xf>
    <xf fontId="9" fillId="5" borderId="1" numFmtId="0" xfId="0" applyFont="1" applyFill="1" applyBorder="1" applyAlignment="1">
      <alignment horizontal="center"/>
    </xf>
    <xf fontId="9" fillId="5" borderId="1" numFmtId="164" xfId="0" applyNumberFormat="1" applyFont="1" applyFill="1" applyBorder="1" applyAlignment="1">
      <alignment horizontal="right"/>
    </xf>
    <xf fontId="9" fillId="5" borderId="1" numFmtId="4" xfId="0" applyNumberFormat="1" applyFont="1" applyFill="1" applyBorder="1" applyAlignment="1">
      <alignment horizontal="right"/>
    </xf>
    <xf fontId="9" fillId="5" borderId="1" numFmtId="1" xfId="0" applyNumberFormat="1" applyFont="1" applyFill="1" applyBorder="1" applyAlignment="1">
      <alignment horizontal="right"/>
    </xf>
    <xf fontId="8" fillId="5" borderId="1" numFmtId="0" xfId="0" applyFont="1" applyFill="1" applyBorder="1" applyAlignment="1">
      <alignment horizontal="center"/>
    </xf>
    <xf fontId="9" fillId="0" borderId="1" numFmtId="49" xfId="0" applyNumberFormat="1" applyFont="1" applyBorder="1" applyAlignment="1">
      <alignment horizontal="right"/>
    </xf>
    <xf fontId="9" fillId="0" borderId="1" numFmtId="49" xfId="0" applyNumberFormat="1" applyFont="1" applyBorder="1" applyAlignment="1">
      <alignment horizontal="left"/>
    </xf>
    <xf fontId="9" fillId="0" borderId="1" numFmtId="49" xfId="0" applyNumberFormat="1" applyFont="1" applyBorder="1" applyAlignment="1">
      <alignment horizontal="left" vertical="top"/>
    </xf>
    <xf fontId="9" fillId="0" borderId="1" numFmtId="0" xfId="0" applyFont="1" applyBorder="1" applyAlignment="1">
      <alignment horizontal="left"/>
    </xf>
    <xf fontId="9" fillId="0" borderId="1" numFmtId="4" xfId="0" applyNumberFormat="1" applyFont="1" applyBorder="1" applyAlignment="1">
      <alignment horizontal="right"/>
    </xf>
    <xf fontId="9" fillId="0" borderId="1" numFmtId="1" xfId="0" applyNumberFormat="1" applyFont="1" applyBorder="1" applyAlignment="1">
      <alignment horizontal="right"/>
    </xf>
    <xf fontId="8" fillId="0" borderId="1" numFmtId="0" xfId="0" applyFont="1" applyBorder="1" applyAlignment="1">
      <alignment horizontal="center"/>
    </xf>
    <xf fontId="0" fillId="5" borderId="1" numFmtId="49" xfId="0" applyNumberFormat="1" applyFill="1" applyBorder="1" applyAlignment="1">
      <alignment horizontal="left" wrapText="1"/>
    </xf>
    <xf fontId="8" fillId="5" borderId="1" numFmtId="49" xfId="0" applyNumberFormat="1" applyFont="1" applyFill="1" applyBorder="1" applyAlignment="1">
      <alignment horizontal="left" vertical="top" wrapText="1"/>
    </xf>
    <xf fontId="8" fillId="5" borderId="1" numFmtId="0" xfId="0" applyFont="1" applyFill="1" applyBorder="1" applyAlignment="1">
      <alignment wrapText="1"/>
    </xf>
    <xf fontId="0" fillId="5" borderId="1" numFmtId="0" xfId="0" applyFill="1" applyBorder="1" applyAlignment="1">
      <alignment wrapText="1"/>
    </xf>
    <xf fontId="8" fillId="5" borderId="1" numFmtId="0" xfId="0" applyFont="1" applyFill="1" applyBorder="1"/>
    <xf fontId="8" fillId="5" borderId="1" numFmtId="2" xfId="0" applyNumberFormat="1" applyFont="1" applyFill="1" applyBorder="1" applyAlignment="1">
      <alignment horizontal="right"/>
    </xf>
    <xf fontId="12" fillId="5" borderId="1" numFmtId="0" xfId="0" applyFont="1" applyFill="1" applyBorder="1" applyAlignment="1">
      <alignment horizontal="right"/>
    </xf>
    <xf fontId="12" fillId="5" borderId="1" numFmtId="3" xfId="0" applyNumberFormat="1" applyFont="1" applyFill="1" applyBorder="1" applyAlignment="1">
      <alignment horizontal="right"/>
    </xf>
    <xf fontId="12" fillId="5" borderId="1" numFmtId="49" xfId="0" applyNumberFormat="1" applyFont="1" applyFill="1" applyBorder="1" applyAlignment="1">
      <alignment horizontal="right"/>
    </xf>
    <xf fontId="13" fillId="5" borderId="1" numFmtId="49" xfId="0" applyNumberFormat="1" applyFont="1" applyFill="1" applyBorder="1" applyAlignment="1">
      <alignment horizontal="left" wrapText="1"/>
    </xf>
    <xf fontId="12" fillId="5" borderId="1" numFmtId="49" xfId="0" applyNumberFormat="1" applyFont="1" applyFill="1" applyBorder="1" applyAlignment="1">
      <alignment horizontal="left" vertical="top"/>
    </xf>
    <xf fontId="12" fillId="5" borderId="1" numFmtId="0" xfId="0" applyFont="1" applyFill="1" applyBorder="1"/>
    <xf fontId="13" fillId="5" borderId="1" numFmtId="0" xfId="0" applyFont="1" applyFill="1" applyBorder="1" applyAlignment="1">
      <alignment wrapText="1"/>
    </xf>
    <xf fontId="12" fillId="5" borderId="1" numFmtId="0" xfId="0" applyFont="1" applyFill="1" applyBorder="1" applyAlignment="1">
      <alignment horizontal="left"/>
    </xf>
    <xf fontId="12" fillId="5" borderId="1" numFmtId="0" xfId="0" applyFont="1" applyFill="1" applyBorder="1" applyAlignment="1">
      <alignment horizontal="center"/>
    </xf>
    <xf fontId="12" fillId="5" borderId="1" numFmtId="1" xfId="0" applyNumberFormat="1" applyFont="1" applyFill="1" applyBorder="1" applyAlignment="1">
      <alignment horizontal="right"/>
    </xf>
    <xf fontId="12" fillId="5" borderId="1" numFmtId="164" xfId="0" applyNumberFormat="1" applyFont="1" applyFill="1" applyBorder="1" applyAlignment="1">
      <alignment horizontal="right"/>
    </xf>
    <xf fontId="12" fillId="5" borderId="1" numFmtId="4" xfId="0" applyNumberFormat="1" applyFont="1" applyFill="1" applyBorder="1" applyAlignment="1">
      <alignment horizontal="right"/>
    </xf>
    <xf fontId="12" fillId="5" borderId="1" numFmtId="2" xfId="0" applyNumberFormat="1" applyFont="1" applyFill="1" applyBorder="1" applyAlignment="1">
      <alignment horizontal="right"/>
    </xf>
    <xf fontId="0" fillId="0" borderId="1" numFmtId="49" xfId="0" applyNumberFormat="1" applyBorder="1" applyAlignment="1">
      <alignment horizontal="left"/>
    </xf>
    <xf fontId="8" fillId="0" borderId="1" numFmtId="49" xfId="0" applyNumberFormat="1" applyFont="1" applyBorder="1" applyAlignment="1">
      <alignment horizontal="left" vertical="top" wrapText="1"/>
    </xf>
    <xf fontId="8" fillId="0" borderId="1" numFmtId="4" xfId="0" applyNumberFormat="1" applyFont="1" applyBorder="1" applyAlignment="1">
      <alignment wrapText="1"/>
    </xf>
    <xf fontId="8" fillId="0" borderId="1" numFmtId="4" xfId="0" applyNumberFormat="1" applyFont="1" applyBorder="1" applyAlignment="1">
      <alignment horizontal="left"/>
    </xf>
    <xf fontId="8" fillId="0" borderId="1" numFmtId="2" xfId="0" applyNumberFormat="1" applyFont="1" applyBorder="1" applyAlignment="1">
      <alignment horizontal="right"/>
    </xf>
    <xf fontId="8" fillId="0" borderId="1" numFmtId="0" xfId="0" applyFont="1" applyBorder="1" applyAlignment="1">
      <alignment wrapText="1"/>
    </xf>
    <xf fontId="12" fillId="0" borderId="1" numFmtId="4" xfId="0" applyNumberFormat="1" applyFont="1" applyBorder="1" applyAlignment="1">
      <alignment horizontal="right"/>
    </xf>
    <xf fontId="12" fillId="0" borderId="1" numFmtId="3" xfId="0" applyNumberFormat="1" applyFont="1" applyBorder="1" applyAlignment="1">
      <alignment horizontal="right"/>
    </xf>
    <xf fontId="12" fillId="0" borderId="1" numFmtId="49" xfId="0" applyNumberFormat="1" applyFont="1" applyBorder="1" applyAlignment="1">
      <alignment horizontal="right"/>
    </xf>
    <xf fontId="12" fillId="0" borderId="1" numFmtId="49" xfId="0" applyNumberFormat="1" applyFont="1" applyBorder="1" applyAlignment="1">
      <alignment horizontal="left" vertical="top"/>
    </xf>
    <xf fontId="12" fillId="0" borderId="1" numFmtId="4" xfId="0" applyNumberFormat="1" applyFont="1" applyBorder="1" applyAlignment="1">
      <alignment horizontal="left"/>
    </xf>
    <xf fontId="12" fillId="0" borderId="1" numFmtId="4" xfId="0" applyNumberFormat="1" applyFont="1" applyBorder="1" applyAlignment="1">
      <alignment wrapText="1"/>
    </xf>
    <xf fontId="12" fillId="0" borderId="1" numFmtId="0" xfId="0" applyFont="1" applyBorder="1" applyAlignment="1">
      <alignment horizontal="right"/>
    </xf>
    <xf fontId="12" fillId="0" borderId="1" numFmtId="0" xfId="0" applyFont="1" applyBorder="1" applyAlignment="1">
      <alignment horizontal="left"/>
    </xf>
    <xf fontId="12" fillId="0" borderId="1" numFmtId="0" xfId="0" applyFont="1" applyBorder="1" applyAlignment="1">
      <alignment horizontal="center"/>
    </xf>
    <xf fontId="12" fillId="0" borderId="1" numFmtId="1" xfId="0" applyNumberFormat="1" applyFont="1" applyBorder="1" applyAlignment="1">
      <alignment horizontal="right"/>
    </xf>
    <xf fontId="12" fillId="0" borderId="1" numFmtId="164" xfId="0" applyNumberFormat="1" applyFont="1" applyBorder="1" applyAlignment="1">
      <alignment horizontal="right"/>
    </xf>
    <xf fontId="8" fillId="5" borderId="1" numFmtId="4" xfId="0" applyNumberFormat="1" applyFont="1" applyFill="1" applyBorder="1" applyAlignment="1">
      <alignment wrapText="1"/>
    </xf>
    <xf fontId="12" fillId="5" borderId="1" numFmtId="49" xfId="0" applyNumberFormat="1" applyFont="1" applyFill="1" applyBorder="1" applyAlignment="1">
      <alignment horizontal="left"/>
    </xf>
    <xf fontId="6" fillId="5" borderId="1" numFmtId="0" xfId="0" applyFont="1" applyFill="1" applyBorder="1" applyAlignment="1">
      <alignment horizontal="right" wrapText="1"/>
    </xf>
    <xf fontId="6" fillId="5" borderId="1" numFmtId="49" xfId="0" applyNumberFormat="1" applyFont="1" applyFill="1" applyBorder="1" applyAlignment="1">
      <alignment horizontal="left" vertical="top" wrapText="1"/>
    </xf>
    <xf fontId="6" fillId="5" borderId="1" numFmtId="49" xfId="0" applyNumberFormat="1" applyFont="1" applyFill="1" applyBorder="1" applyAlignment="1">
      <alignment horizontal="right" wrapText="1"/>
    </xf>
    <xf fontId="9" fillId="5" borderId="1" numFmtId="0" xfId="0" applyFont="1" applyFill="1" applyBorder="1" applyAlignment="1">
      <alignment horizontal="right" wrapText="1"/>
    </xf>
    <xf fontId="7" fillId="5" borderId="1" numFmtId="0" xfId="0" applyFont="1" applyFill="1" applyBorder="1" applyAlignment="1">
      <alignment horizontal="right" wrapText="1"/>
    </xf>
    <xf fontId="8" fillId="5" borderId="1" numFmtId="164" xfId="0" applyNumberFormat="1" applyFont="1" applyFill="1" applyBorder="1" applyAlignment="1">
      <alignment horizontal="right" wrapText="1"/>
    </xf>
    <xf fontId="8" fillId="5" borderId="1" numFmtId="0" xfId="0" applyFont="1" applyFill="1" applyBorder="1" applyAlignment="1">
      <alignment horizontal="right" wrapText="1"/>
    </xf>
    <xf fontId="9" fillId="5" borderId="1" numFmtId="2" xfId="0" applyNumberFormat="1" applyFont="1" applyFill="1" applyBorder="1" applyAlignment="1">
      <alignment horizontal="right"/>
    </xf>
    <xf fontId="9" fillId="5" borderId="1" numFmtId="0" xfId="0" applyFont="1" applyFill="1" applyBorder="1" applyAlignment="1">
      <alignment wrapText="1"/>
    </xf>
    <xf fontId="9" fillId="0" borderId="1" numFmtId="0" xfId="0" applyFont="1" applyBorder="1" applyAlignment="1">
      <alignment horizontal="right" wrapText="1"/>
    </xf>
    <xf fontId="8" fillId="0" borderId="1" numFmtId="0" xfId="0" applyFont="1" applyBorder="1" applyAlignment="1">
      <alignment horizontal="right" wrapText="1"/>
    </xf>
    <xf fontId="12" fillId="0" borderId="1" numFmtId="49" xfId="0" applyNumberFormat="1" applyFont="1" applyBorder="1" applyAlignment="1">
      <alignment horizontal="left"/>
    </xf>
    <xf fontId="12" fillId="0" borderId="1" numFmtId="0" xfId="0" applyFont="1" applyBorder="1" applyAlignment="1">
      <alignment wrapText="1"/>
    </xf>
    <xf fontId="12" fillId="0" borderId="1" numFmtId="0" xfId="0" applyFont="1" applyBorder="1" applyAlignment="1">
      <alignment horizontal="right" wrapText="1"/>
    </xf>
    <xf fontId="12" fillId="0" borderId="1" numFmtId="2" xfId="0" applyNumberFormat="1" applyFont="1" applyBorder="1" applyAlignment="1">
      <alignment horizontal="right"/>
    </xf>
    <xf fontId="0" fillId="0" borderId="1" numFmtId="0" xfId="0" applyBorder="1" applyAlignment="1">
      <alignment wrapText="1"/>
    </xf>
    <xf fontId="8" fillId="0" borderId="1" numFmtId="0" xfId="0" applyFont="1" applyBorder="1" applyAlignment="1">
      <alignment horizontal="left" vertical="top"/>
    </xf>
    <xf fontId="2" fillId="4" borderId="1" numFmtId="0" xfId="0" applyFont="1" applyFill="1" applyBorder="1" applyAlignment="1">
      <alignment horizontal="right" vertical="center" wrapText="1"/>
    </xf>
    <xf fontId="2" fillId="4" borderId="1" numFmtId="0" xfId="0" applyFont="1" applyFill="1" applyBorder="1"/>
    <xf fontId="1" fillId="4" borderId="1" numFmtId="0" xfId="0" applyFont="1" applyFill="1" applyBorder="1" applyAlignment="1">
      <alignment horizontal="left" vertical="top"/>
    </xf>
    <xf fontId="2" fillId="4" borderId="1" numFmtId="0" xfId="0" applyFont="1" applyFill="1" applyBorder="1" applyAlignment="1">
      <alignment horizontal="center" vertical="center"/>
    </xf>
    <xf fontId="14" fillId="4" borderId="1" numFmtId="0" xfId="0" applyFont="1" applyFill="1" applyBorder="1" applyAlignment="1">
      <alignment horizontal="right" vertical="center" wrapText="1"/>
    </xf>
    <xf fontId="14" fillId="4" borderId="1" numFmtId="0" xfId="0" applyFont="1" applyFill="1" applyBorder="1" applyAlignment="1">
      <alignment horizontal="left" vertical="center" wrapText="1"/>
    </xf>
    <xf fontId="14" fillId="4" borderId="1" numFmtId="0" xfId="0" applyFont="1" applyFill="1" applyBorder="1" applyAlignment="1">
      <alignment horizontal="left" vertical="top" wrapText="1"/>
    </xf>
    <xf fontId="14" fillId="4" borderId="1" numFmtId="0" xfId="0" applyFont="1" applyFill="1" applyBorder="1" applyAlignment="1">
      <alignment horizontal="center" vertical="center" wrapText="1"/>
    </xf>
    <xf fontId="3" fillId="4" borderId="1" numFmtId="0" xfId="0" applyFont="1" applyFill="1" applyBorder="1" applyAlignment="1">
      <alignment horizontal="center" vertical="center" wrapText="1"/>
    </xf>
    <xf fontId="10" fillId="4" borderId="1" numFmtId="0" xfId="0" applyFont="1" applyFill="1" applyBorder="1" applyAlignment="1">
      <alignment horizontal="right" wrapText="1"/>
    </xf>
    <xf fontId="6" fillId="6" borderId="1" numFmtId="0" xfId="0" applyFont="1" applyFill="1" applyBorder="1" applyAlignment="1">
      <alignment horizontal="left" wrapText="1"/>
    </xf>
    <xf fontId="6" fillId="6" borderId="1" numFmtId="0" xfId="0" applyFont="1" applyFill="1" applyBorder="1" applyAlignment="1">
      <alignment horizontal="left" vertical="top" wrapText="1"/>
    </xf>
    <xf fontId="8" fillId="0" borderId="1" numFmtId="0" xfId="0" applyFont="1" applyBorder="1" applyAlignment="1">
      <alignment horizontal="left" vertical="center"/>
    </xf>
    <xf fontId="8" fillId="0" borderId="1" numFmtId="164" xfId="0" applyNumberFormat="1" applyFont="1" applyBorder="1" applyAlignment="1">
      <alignment horizontal="right" vertical="center"/>
    </xf>
    <xf fontId="8" fillId="5" borderId="1" numFmtId="0" xfId="0" applyFont="1" applyFill="1" applyBorder="1" applyAlignment="1">
      <alignment horizontal="left" vertical="center"/>
    </xf>
    <xf fontId="8" fillId="5" borderId="1" numFmtId="0" xfId="0" applyFont="1" applyFill="1" applyBorder="1" applyAlignment="1">
      <alignment horizontal="left" vertical="top"/>
    </xf>
    <xf fontId="8" fillId="5" borderId="1" numFmtId="164" xfId="0" applyNumberFormat="1" applyFont="1" applyFill="1" applyBorder="1" applyAlignment="1">
      <alignment horizontal="right" vertical="center"/>
    </xf>
    <xf fontId="8" fillId="5" borderId="1" numFmtId="0" xfId="0" applyFont="1" applyFill="1" applyBorder="1" applyAlignment="1">
      <alignment horizontal="left" vertical="top" wrapText="1"/>
    </xf>
    <xf fontId="8" fillId="0" borderId="1" numFmtId="0" xfId="0" applyFont="1" applyBorder="1" applyAlignment="1">
      <alignment horizontal="left" vertical="top" wrapText="1"/>
    </xf>
    <xf fontId="15" fillId="0" borderId="0" numFmtId="0" xfId="0" applyFont="1" applyAlignment="1">
      <alignment horizontal="right"/>
    </xf>
    <xf fontId="15" fillId="7" borderId="1" numFmtId="4" xfId="0" applyNumberFormat="1" applyFont="1" applyFill="1" applyBorder="1" applyAlignment="1">
      <alignment horizontal="right"/>
    </xf>
    <xf fontId="15" fillId="0" borderId="1" numFmtId="0" xfId="0" applyFont="1" applyBorder="1" applyAlignment="1">
      <alignment horizontal="center"/>
    </xf>
    <xf fontId="15" fillId="0" borderId="1" numFmtId="0" xfId="0" applyFont="1" applyBorder="1" applyAlignment="1">
      <alignment horizontal="right"/>
    </xf>
    <xf fontId="0" fillId="0" borderId="0" numFmtId="3" xfId="0" applyNumberFormat="1"/>
    <xf fontId="0" fillId="0" borderId="0" numFmtId="4" xfId="0" applyNumberFormat="1"/>
    <xf fontId="6" fillId="0" borderId="0" numFmtId="0" xfId="0" applyFont="1"/>
    <xf fontId="4" fillId="0" borderId="0" numFmtId="0" xfId="0" applyFont="1"/>
    <xf fontId="4" fillId="0" borderId="0" numFmtId="0" xfId="0" applyFont="1" applyAlignment="1">
      <alignment wrapText="1"/>
    </xf>
    <xf fontId="4" fillId="0" borderId="0" numFmtId="0" xfId="0" applyFont="1" applyAlignment="1">
      <alignment horizontal="right"/>
    </xf>
    <xf fontId="4" fillId="0" borderId="0" numFmtId="0" xfId="0" applyFont="1" applyAlignment="1">
      <alignment horizontal="right" wrapText="1"/>
    </xf>
    <xf fontId="16" fillId="0" borderId="0" numFmtId="0" xfId="0" applyFont="1"/>
    <xf fontId="16" fillId="0" borderId="0" numFmtId="0" xfId="0" applyFont="1" applyAlignment="1">
      <alignment horizontal="right"/>
    </xf>
    <xf fontId="0" fillId="0" borderId="0" numFmtId="0" xfId="0" applyAlignment="1">
      <alignment horizontal="right"/>
    </xf>
    <xf fontId="0" fillId="0" borderId="0" numFmtId="2" xfId="0" applyNumberFormat="1"/>
    <xf fontId="17" fillId="0" borderId="0" numFmtId="0" xfId="0" applyFont="1" applyAlignment="1">
      <alignment vertical="center" wrapText="1"/>
    </xf>
    <xf fontId="15" fillId="0" borderId="0" numFmtId="165" xfId="0" applyNumberFormat="1" applyFont="1" applyAlignment="1">
      <alignment vertical="center" wrapText="1"/>
    </xf>
    <xf fontId="15" fillId="0" borderId="0" numFmtId="0" xfId="0" applyFont="1" applyAlignment="1">
      <alignment vertical="center" wrapText="1"/>
    </xf>
    <xf fontId="15" fillId="0" borderId="2" numFmtId="0" xfId="0" applyFont="1" applyBorder="1"/>
    <xf fontId="15" fillId="0" borderId="0" numFmtId="0" xfId="0" applyFont="1"/>
    <xf fontId="15" fillId="5" borderId="1" numFmtId="0" xfId="0" applyFont="1" applyFill="1" applyBorder="1"/>
    <xf fontId="15" fillId="0" borderId="3" numFmtId="0" xfId="0" applyFont="1" applyBorder="1"/>
    <xf fontId="15" fillId="0" borderId="4" numFmtId="0" xfId="0" applyFont="1" applyBorder="1"/>
    <xf fontId="15" fillId="0" borderId="5" numFmtId="0" xfId="0" applyFont="1" applyBorder="1"/>
    <xf fontId="0" fillId="7" borderId="1" numFmtId="0" xfId="0" applyFill="1" applyBorder="1"/>
    <xf fontId="0" fillId="2" borderId="0" numFmtId="0" xfId="0" applyFill="1"/>
    <xf fontId="18" fillId="0" borderId="0" numFmtId="0" xfId="0" applyFont="1" applyAlignment="1">
      <alignment horizontal="center"/>
    </xf>
    <xf fontId="0" fillId="0" borderId="0" numFmtId="0" xfId="0" applyAlignment="1">
      <alignment horizontal="center"/>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microsoft.com/office/2017/10/relationships/person" Target="persons/person.xml"/><Relationship  Id="rId10"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theme" Target="theme/theme1.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tkompernass" id="{46F4D018-B5E8-AC25-93CF-7A3281A58930}"/>
</personList>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threadedComments/threadedComment1.xml><?xml version="1.0" encoding="utf-8"?>
<ThreadedComments xmlns="http://schemas.microsoft.com/office/spreadsheetml/2018/threadedcomments" xmlns:x="http://schemas.openxmlformats.org/spreadsheetml/2006/main">
  <threadedComment ref="K3" personId="{46F4D018-B5E8-AC25-93CF-7A3281A58930}" id="{39E13980-8087-4E31-A72D-7BFB60F12308}" done="0">
    <text xml:space="preserve">Produktgruppe und Kategorie tauschen
</text>
  </threadedComment>
</ThreadedComments>
</file>

<file path=xl/worksheets/_rels/sheet1.xml.rels><?xml version="1.0" encoding="UTF-8" standalone="yes"?><Relationships xmlns="http://schemas.openxmlformats.org/package/2006/relationships"><Relationship  Id="rId1" Type="http://schemas.microsoft.com/office/2017/10/relationships/threadedComment" Target="../threadedComments/threadedComment1.xml"/><Relationship  Id="rId2" Type="http://schemas.openxmlformats.org/officeDocument/2006/relationships/comments" Target="../comments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topLeftCell="K1" zoomScale="110" workbookViewId="0">
      <pane ySplit="3" topLeftCell="A4" activePane="bottomLeft" state="frozen"/>
      <selection activeCell="DN124" activeCellId="0" sqref="DN124"/>
    </sheetView>
  </sheetViews>
  <sheetFormatPr baseColWidth="10" defaultColWidth="17.88671875" defaultRowHeight="14.25"/>
  <cols>
    <col bestFit="1" customWidth="1" min="1" max="1" style="1" width="18.109375"/>
    <col bestFit="1" customWidth="1" min="2" max="2" style="2" width="20.109375"/>
    <col bestFit="1" customWidth="1" min="3" max="3" style="2" width="255"/>
    <col bestFit="1" customWidth="1" min="4" max="4" style="1" width="17.33203125"/>
    <col bestFit="1" customWidth="1" min="5" max="5" style="2" width="36.109375"/>
    <col bestFit="1" customWidth="1" min="6" max="6" style="3" width="36.5546875"/>
    <col bestFit="1" customWidth="1" min="7" max="7" style="3" width="18.88671875"/>
    <col bestFit="1" customWidth="1" min="8" max="8" style="3" width="23.5546875"/>
    <col bestFit="1" customWidth="1" min="9" max="9" style="2" width="38.109375"/>
    <col bestFit="1" customWidth="1" min="10" max="10" style="2" width="30.6640625"/>
    <col bestFit="1" customWidth="1" min="11" max="11" style="1" width="41.33203125"/>
    <col bestFit="1" customWidth="1" min="12" max="12" style="1" width="10.5546875"/>
    <col bestFit="1" customWidth="1" min="13" max="13" style="4" width="36.109375"/>
    <col bestFit="1" customWidth="1" min="14" max="14" style="4" width="171.44140625"/>
    <col bestFit="1" customWidth="1" min="15" max="15" style="5" width="59.5546875"/>
    <col bestFit="1" customWidth="1" min="16" max="16" style="1" width="9.88671875"/>
    <col bestFit="1" customWidth="1" min="17" max="17" style="1" width="13.109375"/>
    <col bestFit="1" customWidth="1" min="18" max="18" style="1" width="6.88671875"/>
    <col bestFit="1" customWidth="1" min="19" max="19" style="1" width="10.88671875"/>
    <col bestFit="1" customWidth="1" min="20" max="20" style="4" width="14.44140625"/>
    <col bestFit="1" customWidth="1" min="21" max="22" style="1" width="14.44140625"/>
    <col bestFit="1" customWidth="1" min="23" max="23" style="1" width="18"/>
    <col bestFit="1" customWidth="1" min="24" max="24" style="4" width="69"/>
    <col bestFit="1" customWidth="1" min="25" max="25" style="1" width="12.88671875"/>
    <col bestFit="1" customWidth="1" min="26" max="26" style="1" width="12.33203125"/>
    <col bestFit="1" customWidth="1" min="27" max="27" style="1" width="11.88671875"/>
    <col bestFit="1" customWidth="1" min="28" max="28" style="1" width="12.88671875"/>
    <col bestFit="1" customWidth="1" min="29" max="29" style="1" width="12.33203125"/>
    <col bestFit="1" customWidth="1" min="30" max="30" style="1" width="21"/>
    <col bestFit="1" customWidth="1" min="31" max="31" style="1" width="12.88671875"/>
    <col bestFit="1" customWidth="1" min="32" max="32" style="1" width="10.88671875"/>
    <col bestFit="1" customWidth="1" min="33" max="33" style="6" width="98.44140625"/>
    <col bestFit="1" customWidth="1" min="34" max="37" style="6" width="9.6640625"/>
    <col bestFit="1" customWidth="1" min="38" max="38" style="1" width="24"/>
    <col bestFit="1" customWidth="1" min="39" max="39" style="1" width="20.88671875"/>
    <col bestFit="1" customWidth="1" min="40" max="40" style="7" width="8"/>
    <col bestFit="1" customWidth="1" min="41" max="41" style="1" width="15.5546875"/>
    <col bestFit="1" customWidth="1" min="42" max="42" style="1" width="15.88671875"/>
    <col bestFit="1" customWidth="1" min="43" max="43" style="1" width="26.5546875"/>
    <col bestFit="1" customWidth="1" min="44" max="44" style="1" width="17"/>
    <col bestFit="1" customWidth="1" min="45" max="45" style="1" width="8.44140625"/>
    <col bestFit="1" customWidth="1" min="46" max="46" style="1" width="9.44140625"/>
    <col bestFit="1" customWidth="1" min="47" max="47" style="8" width="5.6640625"/>
    <col bestFit="1" customWidth="1" min="48" max="48" style="8" width="5"/>
    <col bestFit="1" customWidth="1" min="49" max="49" style="9" width="10.109375"/>
    <col bestFit="1" customWidth="1" min="50" max="50" style="1" width="9.44140625"/>
    <col bestFit="1" customWidth="1" min="51" max="51" style="1" width="11.33203125"/>
    <col bestFit="1" customWidth="1" min="52" max="52" style="8" width="5.6640625"/>
    <col bestFit="1" customWidth="1" min="53" max="53" style="8" width="5"/>
    <col bestFit="1" customWidth="1" min="54" max="54" style="9" width="10.109375"/>
    <col bestFit="1" customWidth="1" min="55" max="55" style="1" width="9.44140625"/>
    <col bestFit="1" customWidth="1" min="56" max="56" style="1" width="11.33203125"/>
    <col bestFit="1" customWidth="1" min="57" max="57" style="8" width="5.6640625"/>
    <col bestFit="1" customWidth="1" min="58" max="58" style="8" width="5"/>
    <col bestFit="1" customWidth="1" min="59" max="59" style="9" width="10.109375"/>
    <col bestFit="1" customWidth="1" min="60" max="60" style="1" width="9.44140625"/>
    <col bestFit="1" customWidth="1" min="61" max="61" style="1" width="11.33203125"/>
    <col bestFit="1" customWidth="1" min="62" max="62" style="8" width="5.6640625"/>
    <col bestFit="1" customWidth="1" min="63" max="63" style="8" width="5"/>
    <col bestFit="1" customWidth="1" min="64" max="64" style="9" width="10.109375"/>
    <col bestFit="1" customWidth="1" min="65" max="65" style="1" width="17.109375"/>
    <col bestFit="1" customWidth="1" min="66" max="66" style="1" width="17.44140625"/>
    <col bestFit="1" customWidth="1" min="67" max="67" style="1" width="17.109375"/>
    <col bestFit="1" customWidth="1" min="68" max="68" style="1" width="17.44140625"/>
    <col bestFit="1" customWidth="1" min="69" max="69" style="1" width="17.109375"/>
    <col bestFit="1" customWidth="1" min="70" max="70" style="1" width="17.44140625"/>
    <col bestFit="1" customWidth="1" min="71" max="71" style="1" width="17.33203125"/>
    <col bestFit="1" customWidth="1" min="72" max="72" style="1" width="17.44140625"/>
    <col bestFit="1" customWidth="1" min="73" max="73" style="1" width="16.5546875"/>
    <col bestFit="1" customWidth="1" min="74" max="76" style="1" width="12.6640625"/>
    <col bestFit="1" customWidth="1" min="77" max="78" style="1" width="14.88671875"/>
    <col bestFit="1" customWidth="1" min="79" max="80" style="1" width="12.6640625"/>
    <col bestFit="1" customWidth="1" min="81" max="82" style="1" width="16"/>
    <col bestFit="1" customWidth="1" min="83" max="84" style="1" width="12.6640625"/>
    <col bestFit="1" customWidth="1" min="85" max="86" style="1" width="17.33203125"/>
    <col bestFit="1" customWidth="1" min="87" max="88" style="1" width="12.6640625"/>
    <col bestFit="1" customWidth="1" min="89" max="89" style="1" width="9.5546875"/>
    <col bestFit="1" customWidth="1" min="90" max="90" style="1" width="11.33203125"/>
    <col bestFit="1" customWidth="1" min="91" max="91" style="1" width="9.5546875"/>
    <col bestFit="1" customWidth="1" min="92" max="92" style="1" width="11.33203125"/>
    <col bestFit="1" customWidth="1" min="93" max="93" style="1" width="9.5546875"/>
    <col bestFit="1" customWidth="1" min="94" max="94" style="1" width="11.33203125"/>
    <col bestFit="1" customWidth="1" min="95" max="95" style="1" width="9.5546875"/>
    <col bestFit="1" customWidth="1" min="96" max="96" style="1" width="11.33203125"/>
    <col bestFit="1" customWidth="1" min="97" max="97" style="1" width="9.44140625"/>
    <col bestFit="1" customWidth="1" min="98" max="98" style="1" width="11.33203125"/>
    <col bestFit="1" customWidth="1" min="99" max="99" style="1" width="9.88671875"/>
    <col bestFit="1" customWidth="1" min="100" max="100" style="1" width="11.5546875"/>
    <col bestFit="1" customWidth="1" min="101" max="101" style="1" width="8.5546875"/>
    <col bestFit="1" customWidth="1" min="102" max="102" style="1" width="11.33203125"/>
    <col bestFit="1" customWidth="1" min="103" max="103" style="1" width="10.5546875"/>
    <col bestFit="1" customWidth="1" min="104" max="104" style="1" width="11.5546875"/>
    <col bestFit="1" customWidth="1" min="105" max="105" style="1" width="9"/>
    <col bestFit="1" customWidth="1" min="106" max="106" style="1" width="11.33203125"/>
    <col bestFit="1" customWidth="1" min="107" max="107" style="1" width="10.5546875"/>
    <col bestFit="1" customWidth="1" min="108" max="108" style="1" width="11.5546875"/>
    <col bestFit="1" customWidth="1" min="109" max="109" style="1" width="9"/>
    <col bestFit="1" customWidth="1" min="110" max="110" style="1" width="11.33203125"/>
    <col bestFit="1" customWidth="1" min="111" max="111" style="1" width="10.5546875"/>
    <col bestFit="1" customWidth="1" min="112" max="112" style="1" width="14.44140625"/>
    <col bestFit="1" customWidth="1" min="113" max="120" style="1" width="17.6640625"/>
    <col min="121" max="16384" style="1" width="17.88671875"/>
  </cols>
  <sheetData>
    <row r="1" s="10" customFormat="1" ht="35.25" customHeight="1">
      <c r="B1" s="11"/>
      <c r="C1" s="11"/>
      <c r="E1" s="11"/>
      <c r="F1" s="12"/>
      <c r="G1" s="12"/>
      <c r="H1" s="12"/>
      <c r="I1" s="11"/>
      <c r="J1" s="11"/>
      <c r="M1" s="13"/>
      <c r="N1" s="13"/>
      <c r="O1" s="13"/>
      <c r="P1" s="14" t="s">
        <v>0</v>
      </c>
      <c r="Q1" s="14"/>
      <c r="R1" s="14"/>
      <c r="S1" s="14"/>
      <c r="T1" s="14"/>
      <c r="W1" s="15"/>
      <c r="X1" s="15"/>
      <c r="Y1" s="15"/>
      <c r="Z1" s="15"/>
      <c r="AA1" s="15"/>
      <c r="AB1" s="15"/>
      <c r="AC1" s="15"/>
      <c r="AD1" s="15"/>
      <c r="AE1" s="15"/>
      <c r="AF1" s="15"/>
      <c r="AG1" s="15"/>
      <c r="AH1" s="15"/>
      <c r="AI1" s="15"/>
      <c r="AJ1" s="15"/>
      <c r="AK1" s="15"/>
      <c r="AL1" s="15"/>
      <c r="AM1" s="15"/>
      <c r="AN1" s="14"/>
      <c r="AO1" s="15"/>
      <c r="AP1" s="15"/>
      <c r="AQ1" s="16" t="s">
        <v>1</v>
      </c>
      <c r="AR1" s="16"/>
      <c r="AS1" s="14" t="s">
        <v>2</v>
      </c>
      <c r="AT1" s="14"/>
      <c r="AU1" s="14"/>
      <c r="AV1" s="14"/>
      <c r="AW1" s="14"/>
      <c r="AX1" s="14"/>
      <c r="AY1" s="14"/>
      <c r="AZ1" s="14"/>
      <c r="BA1" s="14"/>
      <c r="BB1" s="14"/>
      <c r="BC1" s="14"/>
      <c r="BD1" s="14"/>
      <c r="BE1" s="14"/>
      <c r="BF1" s="14"/>
      <c r="BG1" s="14"/>
      <c r="BH1" s="14"/>
      <c r="BI1" s="14"/>
      <c r="BJ1" s="14"/>
      <c r="BK1" s="14"/>
      <c r="BL1" s="17"/>
      <c r="BM1" s="14"/>
      <c r="BO1" s="14"/>
      <c r="BQ1" s="14"/>
      <c r="BU1" s="18" t="s">
        <v>3</v>
      </c>
      <c r="BV1" s="18"/>
      <c r="BW1" s="18"/>
      <c r="BX1" s="18"/>
      <c r="BY1" s="18"/>
      <c r="BZ1" s="18"/>
      <c r="CA1" s="18"/>
      <c r="CB1" s="18"/>
      <c r="CC1" s="18"/>
      <c r="CD1" s="18"/>
      <c r="CE1" s="18"/>
      <c r="CF1" s="18"/>
      <c r="CG1" s="18"/>
      <c r="CH1" s="18"/>
      <c r="CI1" s="18"/>
      <c r="CJ1" s="18"/>
      <c r="CK1" s="18" t="s">
        <v>4</v>
      </c>
      <c r="CL1" s="18"/>
      <c r="CM1" s="18"/>
      <c r="CN1" s="18"/>
      <c r="CO1" s="18"/>
      <c r="CP1" s="18"/>
      <c r="CQ1" s="18"/>
      <c r="CR1" s="18"/>
      <c r="CS1" s="18" t="s">
        <v>3</v>
      </c>
      <c r="CT1" s="18"/>
      <c r="CU1" s="18"/>
      <c r="CV1" s="18"/>
      <c r="CW1" s="18"/>
      <c r="CX1" s="18"/>
      <c r="CY1" s="18"/>
      <c r="CZ1" s="18"/>
      <c r="DA1" s="18"/>
      <c r="DB1" s="18"/>
      <c r="DC1" s="18"/>
      <c r="DD1" s="18"/>
      <c r="DE1" s="18"/>
      <c r="DF1" s="18"/>
      <c r="DG1" s="18"/>
      <c r="DH1" s="18"/>
      <c r="DI1" s="18" t="s">
        <v>4</v>
      </c>
      <c r="DJ1" s="18"/>
      <c r="DK1" s="18"/>
      <c r="DL1" s="18"/>
      <c r="DM1" s="18"/>
      <c r="DN1" s="18"/>
      <c r="DO1" s="18"/>
      <c r="DP1" s="18"/>
    </row>
    <row r="2" s="19" customFormat="1" ht="45" customHeight="1">
      <c r="B2" s="20"/>
      <c r="C2" s="20"/>
      <c r="E2" s="20"/>
      <c r="F2" s="21"/>
      <c r="G2" s="21"/>
      <c r="H2" s="21"/>
      <c r="I2" s="20"/>
      <c r="J2" s="20" t="s">
        <v>5</v>
      </c>
      <c r="K2" s="19" t="s">
        <v>6</v>
      </c>
      <c r="L2" s="19" t="s">
        <v>7</v>
      </c>
      <c r="M2" s="22" t="s">
        <v>8</v>
      </c>
      <c r="N2" s="22" t="s">
        <v>9</v>
      </c>
      <c r="O2" s="22"/>
      <c r="T2" s="22"/>
      <c r="X2" s="23" t="s">
        <v>10</v>
      </c>
      <c r="Y2" s="23"/>
      <c r="Z2" s="23"/>
      <c r="AA2" s="23" t="s">
        <v>11</v>
      </c>
      <c r="AB2" s="23"/>
      <c r="AC2" s="23"/>
      <c r="AG2" s="22"/>
      <c r="AH2" s="22"/>
      <c r="AI2" s="22"/>
      <c r="AJ2" s="22"/>
      <c r="AK2" s="22"/>
      <c r="AN2" s="23"/>
      <c r="AQ2" s="19" t="s">
        <v>12</v>
      </c>
      <c r="AR2" s="19" t="s">
        <v>13</v>
      </c>
      <c r="AS2" s="23" t="s">
        <v>14</v>
      </c>
      <c r="AT2" s="23" t="s">
        <v>14</v>
      </c>
      <c r="AU2" s="24" t="s">
        <v>14</v>
      </c>
      <c r="AV2" s="24" t="s">
        <v>14</v>
      </c>
      <c r="AW2" s="25" t="s">
        <v>14</v>
      </c>
      <c r="AX2" s="23" t="s">
        <v>14</v>
      </c>
      <c r="AY2" s="23" t="s">
        <v>14</v>
      </c>
      <c r="AZ2" s="24" t="s">
        <v>14</v>
      </c>
      <c r="BA2" s="24" t="s">
        <v>14</v>
      </c>
      <c r="BB2" s="25" t="s">
        <v>14</v>
      </c>
      <c r="BC2" s="23" t="s">
        <v>14</v>
      </c>
      <c r="BD2" s="23" t="s">
        <v>14</v>
      </c>
      <c r="BE2" s="24" t="s">
        <v>14</v>
      </c>
      <c r="BF2" s="24" t="s">
        <v>14</v>
      </c>
      <c r="BG2" s="25" t="s">
        <v>14</v>
      </c>
      <c r="BH2" s="23" t="s">
        <v>14</v>
      </c>
      <c r="BI2" s="23" t="s">
        <v>14</v>
      </c>
      <c r="BJ2" s="24" t="s">
        <v>14</v>
      </c>
      <c r="BK2" s="24" t="s">
        <v>14</v>
      </c>
      <c r="BL2" s="25" t="s">
        <v>14</v>
      </c>
      <c r="BM2" s="26" t="s">
        <v>15</v>
      </c>
      <c r="BN2" s="26"/>
      <c r="BO2" s="26"/>
      <c r="BP2" s="26"/>
      <c r="BQ2" s="26"/>
      <c r="BR2" s="26"/>
      <c r="BS2" s="26"/>
      <c r="BT2" s="26"/>
      <c r="BU2" s="26" t="s">
        <v>16</v>
      </c>
      <c r="BV2" s="26" t="s">
        <v>16</v>
      </c>
      <c r="BW2" s="26" t="s">
        <v>16</v>
      </c>
      <c r="BX2" s="26" t="s">
        <v>16</v>
      </c>
      <c r="BY2" s="26" t="s">
        <v>16</v>
      </c>
      <c r="BZ2" s="26" t="s">
        <v>16</v>
      </c>
      <c r="CA2" s="26" t="s">
        <v>16</v>
      </c>
      <c r="CB2" s="26" t="s">
        <v>16</v>
      </c>
      <c r="CC2" s="26" t="s">
        <v>16</v>
      </c>
      <c r="CD2" s="26" t="s">
        <v>16</v>
      </c>
      <c r="CE2" s="26" t="s">
        <v>16</v>
      </c>
      <c r="CF2" s="26" t="s">
        <v>16</v>
      </c>
      <c r="CG2" s="26" t="s">
        <v>16</v>
      </c>
      <c r="CH2" s="26" t="s">
        <v>16</v>
      </c>
      <c r="CI2" s="26" t="s">
        <v>16</v>
      </c>
      <c r="CJ2" s="26" t="s">
        <v>16</v>
      </c>
      <c r="CK2" s="26" t="s">
        <v>17</v>
      </c>
      <c r="CL2" s="26" t="s">
        <v>17</v>
      </c>
      <c r="CM2" s="26" t="s">
        <v>17</v>
      </c>
      <c r="CN2" s="26" t="s">
        <v>17</v>
      </c>
      <c r="CO2" s="26" t="s">
        <v>17</v>
      </c>
      <c r="CP2" s="26" t="s">
        <v>17</v>
      </c>
      <c r="CQ2" s="26" t="s">
        <v>17</v>
      </c>
      <c r="CR2" s="26" t="s">
        <v>17</v>
      </c>
      <c r="CS2" s="26" t="s">
        <v>18</v>
      </c>
      <c r="CT2" s="26" t="s">
        <v>18</v>
      </c>
      <c r="CU2" s="26" t="s">
        <v>18</v>
      </c>
      <c r="CV2" s="26" t="s">
        <v>18</v>
      </c>
      <c r="CW2" s="26" t="s">
        <v>18</v>
      </c>
      <c r="CX2" s="26" t="s">
        <v>18</v>
      </c>
      <c r="CY2" s="26" t="s">
        <v>18</v>
      </c>
      <c r="CZ2" s="26" t="s">
        <v>18</v>
      </c>
      <c r="DA2" s="26" t="s">
        <v>18</v>
      </c>
      <c r="DB2" s="26" t="s">
        <v>18</v>
      </c>
      <c r="DC2" s="26" t="s">
        <v>18</v>
      </c>
      <c r="DD2" s="26" t="s">
        <v>18</v>
      </c>
      <c r="DE2" s="26" t="s">
        <v>18</v>
      </c>
      <c r="DF2" s="26" t="s">
        <v>18</v>
      </c>
      <c r="DG2" s="26" t="s">
        <v>18</v>
      </c>
      <c r="DH2" s="26" t="s">
        <v>18</v>
      </c>
      <c r="DI2" s="26" t="s">
        <v>19</v>
      </c>
      <c r="DJ2" s="26" t="s">
        <v>19</v>
      </c>
      <c r="DK2" s="26" t="s">
        <v>19</v>
      </c>
      <c r="DL2" s="26" t="s">
        <v>19</v>
      </c>
      <c r="DM2" s="26" t="s">
        <v>19</v>
      </c>
      <c r="DN2" s="26" t="s">
        <v>19</v>
      </c>
      <c r="DO2" s="26" t="s">
        <v>19</v>
      </c>
      <c r="DP2" s="26" t="s">
        <v>19</v>
      </c>
    </row>
    <row r="3" s="27" customFormat="1" ht="61.5" customHeight="1">
      <c r="A3" s="27" t="s">
        <v>20</v>
      </c>
      <c r="B3" s="28" t="s">
        <v>21</v>
      </c>
      <c r="C3" s="28" t="s">
        <v>22</v>
      </c>
      <c r="D3" s="27" t="s">
        <v>23</v>
      </c>
      <c r="E3" s="28" t="s">
        <v>24</v>
      </c>
      <c r="F3" s="29" t="s">
        <v>25</v>
      </c>
      <c r="G3" s="29" t="s">
        <v>26</v>
      </c>
      <c r="H3" s="29" t="s">
        <v>27</v>
      </c>
      <c r="I3" s="28" t="s">
        <v>28</v>
      </c>
      <c r="J3" s="28" t="s">
        <v>29</v>
      </c>
      <c r="K3" s="27" t="s">
        <v>30</v>
      </c>
      <c r="L3" s="27" t="s">
        <v>31</v>
      </c>
      <c r="M3" s="30" t="s">
        <v>32</v>
      </c>
      <c r="N3" s="30" t="s">
        <v>33</v>
      </c>
      <c r="O3" s="30" t="s">
        <v>34</v>
      </c>
      <c r="P3" s="27" t="s">
        <v>35</v>
      </c>
      <c r="Q3" s="27" t="s">
        <v>36</v>
      </c>
      <c r="R3" s="27" t="s">
        <v>37</v>
      </c>
      <c r="S3" s="27" t="s">
        <v>38</v>
      </c>
      <c r="T3" s="27" t="s">
        <v>39</v>
      </c>
      <c r="U3" s="27" t="s">
        <v>40</v>
      </c>
      <c r="V3" s="27" t="s">
        <v>41</v>
      </c>
      <c r="W3" s="27" t="s">
        <v>42</v>
      </c>
      <c r="X3" s="31" t="s">
        <v>43</v>
      </c>
      <c r="Y3" s="32" t="s">
        <v>44</v>
      </c>
      <c r="Z3" s="32" t="s">
        <v>45</v>
      </c>
      <c r="AA3" s="32" t="s">
        <v>43</v>
      </c>
      <c r="AB3" s="32" t="s">
        <v>44</v>
      </c>
      <c r="AC3" s="32" t="s">
        <v>45</v>
      </c>
      <c r="AD3" s="32" t="s">
        <v>46</v>
      </c>
      <c r="AE3" s="32" t="s">
        <v>47</v>
      </c>
      <c r="AF3" s="32" t="s">
        <v>48</v>
      </c>
      <c r="AG3" s="31" t="s">
        <v>49</v>
      </c>
      <c r="AH3" s="31" t="s">
        <v>50</v>
      </c>
      <c r="AI3" s="31" t="s">
        <v>51</v>
      </c>
      <c r="AJ3" s="31" t="s">
        <v>52</v>
      </c>
      <c r="AK3" s="31" t="s">
        <v>53</v>
      </c>
      <c r="AL3" s="32" t="s">
        <v>54</v>
      </c>
      <c r="AM3" s="32" t="s">
        <v>55</v>
      </c>
      <c r="AN3" s="33" t="s">
        <v>56</v>
      </c>
      <c r="AO3" s="32" t="s">
        <v>57</v>
      </c>
      <c r="AP3" s="32" t="s">
        <v>58</v>
      </c>
      <c r="AQ3" s="27" t="s">
        <v>59</v>
      </c>
      <c r="AR3" s="27" t="s">
        <v>60</v>
      </c>
      <c r="AS3" s="32" t="s">
        <v>61</v>
      </c>
      <c r="AT3" s="32" t="s">
        <v>62</v>
      </c>
      <c r="AU3" s="34" t="s">
        <v>63</v>
      </c>
      <c r="AV3" s="34" t="s">
        <v>64</v>
      </c>
      <c r="AW3" s="35" t="s">
        <v>65</v>
      </c>
      <c r="AX3" s="32" t="s">
        <v>66</v>
      </c>
      <c r="AY3" s="32" t="s">
        <v>67</v>
      </c>
      <c r="AZ3" s="34" t="s">
        <v>63</v>
      </c>
      <c r="BA3" s="34" t="s">
        <v>64</v>
      </c>
      <c r="BB3" s="35" t="s">
        <v>65</v>
      </c>
      <c r="BC3" s="32"/>
      <c r="BD3" s="32" t="s">
        <v>68</v>
      </c>
      <c r="BE3" s="34" t="s">
        <v>63</v>
      </c>
      <c r="BF3" s="34" t="s">
        <v>64</v>
      </c>
      <c r="BG3" s="35" t="s">
        <v>65</v>
      </c>
      <c r="BH3" s="32" t="s">
        <v>69</v>
      </c>
      <c r="BI3" s="32" t="s">
        <v>70</v>
      </c>
      <c r="BJ3" s="34" t="s">
        <v>63</v>
      </c>
      <c r="BK3" s="34" t="s">
        <v>64</v>
      </c>
      <c r="BL3" s="35" t="s">
        <v>65</v>
      </c>
      <c r="BM3" s="36" t="s">
        <v>71</v>
      </c>
      <c r="BN3" s="36" t="s">
        <v>72</v>
      </c>
      <c r="BO3" s="36" t="s">
        <v>73</v>
      </c>
      <c r="BP3" s="36" t="s">
        <v>72</v>
      </c>
      <c r="BQ3" s="36" t="s">
        <v>74</v>
      </c>
      <c r="BR3" s="36" t="s">
        <v>72</v>
      </c>
      <c r="BS3" s="36" t="s">
        <v>75</v>
      </c>
      <c r="BT3" s="36" t="s">
        <v>72</v>
      </c>
      <c r="BU3" s="36" t="s">
        <v>61</v>
      </c>
      <c r="BV3" s="36" t="s">
        <v>62</v>
      </c>
      <c r="BW3" s="36" t="s">
        <v>76</v>
      </c>
      <c r="BX3" s="36" t="s">
        <v>77</v>
      </c>
      <c r="BY3" s="36" t="s">
        <v>66</v>
      </c>
      <c r="BZ3" s="36" t="s">
        <v>67</v>
      </c>
      <c r="CA3" s="36" t="s">
        <v>76</v>
      </c>
      <c r="CB3" s="36" t="s">
        <v>77</v>
      </c>
      <c r="CC3" s="36" t="s">
        <v>78</v>
      </c>
      <c r="CD3" s="36" t="s">
        <v>68</v>
      </c>
      <c r="CE3" s="36" t="s">
        <v>76</v>
      </c>
      <c r="CF3" s="36" t="s">
        <v>77</v>
      </c>
      <c r="CG3" s="36" t="s">
        <v>69</v>
      </c>
      <c r="CH3" s="36" t="s">
        <v>70</v>
      </c>
      <c r="CI3" s="36" t="s">
        <v>76</v>
      </c>
      <c r="CJ3" s="36" t="s">
        <v>77</v>
      </c>
      <c r="CK3" s="36" t="s">
        <v>61</v>
      </c>
      <c r="CL3" s="36" t="s">
        <v>62</v>
      </c>
      <c r="CM3" s="36" t="s">
        <v>66</v>
      </c>
      <c r="CN3" s="36" t="s">
        <v>67</v>
      </c>
      <c r="CO3" s="36" t="s">
        <v>78</v>
      </c>
      <c r="CP3" s="36" t="s">
        <v>68</v>
      </c>
      <c r="CQ3" s="36" t="s">
        <v>69</v>
      </c>
      <c r="CR3" s="36" t="s">
        <v>70</v>
      </c>
      <c r="CS3" s="36" t="s">
        <v>61</v>
      </c>
      <c r="CT3" s="36" t="s">
        <v>62</v>
      </c>
      <c r="CU3" s="36" t="s">
        <v>76</v>
      </c>
      <c r="CV3" s="36" t="s">
        <v>77</v>
      </c>
      <c r="CW3" s="36" t="s">
        <v>66</v>
      </c>
      <c r="CX3" s="36" t="s">
        <v>67</v>
      </c>
      <c r="CY3" s="36" t="s">
        <v>76</v>
      </c>
      <c r="CZ3" s="36" t="s">
        <v>77</v>
      </c>
      <c r="DA3" s="36" t="s">
        <v>78</v>
      </c>
      <c r="DB3" s="36" t="s">
        <v>68</v>
      </c>
      <c r="DC3" s="36" t="s">
        <v>76</v>
      </c>
      <c r="DD3" s="36" t="s">
        <v>77</v>
      </c>
      <c r="DE3" s="36" t="s">
        <v>69</v>
      </c>
      <c r="DF3" s="36" t="s">
        <v>70</v>
      </c>
      <c r="DG3" s="36" t="s">
        <v>76</v>
      </c>
      <c r="DH3" s="36" t="s">
        <v>77</v>
      </c>
      <c r="DI3" s="36" t="s">
        <v>61</v>
      </c>
      <c r="DJ3" s="36" t="s">
        <v>62</v>
      </c>
      <c r="DK3" s="36" t="s">
        <v>66</v>
      </c>
      <c r="DL3" s="36" t="s">
        <v>67</v>
      </c>
      <c r="DM3" s="36" t="s">
        <v>78</v>
      </c>
      <c r="DN3" s="36" t="s">
        <v>68</v>
      </c>
      <c r="DO3" s="36" t="s">
        <v>69</v>
      </c>
      <c r="DP3" s="36" t="s">
        <v>70</v>
      </c>
    </row>
    <row r="4" s="37" customFormat="1" ht="21.75" customHeight="1">
      <c r="A4" s="37" t="s">
        <v>79</v>
      </c>
      <c r="B4" s="38"/>
      <c r="C4" s="38"/>
      <c r="E4" s="39"/>
      <c r="F4" s="40"/>
      <c r="G4" s="40"/>
      <c r="H4" s="40"/>
      <c r="I4" s="38"/>
      <c r="J4" s="38"/>
      <c r="M4" s="41"/>
      <c r="N4" s="41"/>
      <c r="O4" s="42"/>
      <c r="X4" s="43"/>
      <c r="Y4" s="42"/>
      <c r="Z4" s="42"/>
      <c r="AA4" s="42"/>
      <c r="AB4" s="42"/>
      <c r="AC4" s="42"/>
      <c r="AD4" s="42"/>
      <c r="AE4" s="42"/>
      <c r="AF4" s="42"/>
      <c r="AG4" s="42"/>
      <c r="AH4" s="42"/>
      <c r="AI4" s="42"/>
      <c r="AJ4" s="42"/>
      <c r="AK4" s="42"/>
      <c r="AL4" s="42"/>
      <c r="AM4" s="42"/>
      <c r="AN4" s="44"/>
      <c r="AO4" s="42"/>
      <c r="AP4" s="42"/>
      <c r="AS4" s="45">
        <f t="shared" ref="AS4:AS19" si="0">BU4+(BU4*CK4/100)+CS4+(CS4*DI4/100)</f>
        <v>0</v>
      </c>
      <c r="AT4" s="45">
        <f t="shared" ref="AT4:AT19" si="1">BV4+(BV4*CL4/100)+CT4+(CT4*DJ4/100)</f>
        <v>0</v>
      </c>
      <c r="AU4" s="46"/>
      <c r="AV4" s="46"/>
      <c r="AW4" s="47"/>
      <c r="AX4" s="45">
        <f t="shared" ref="AX4:AX19" si="2">BY4+(BY4*CM4/100)+CW4+(CW4*DK4/100)</f>
        <v>0</v>
      </c>
      <c r="AY4" s="45">
        <f t="shared" ref="AY4:AY19" si="3">BZ4+(BZ4*CN4/100)+CX4+(CX4*DL4/100)</f>
        <v>0</v>
      </c>
      <c r="AZ4" s="46"/>
      <c r="BA4" s="46"/>
      <c r="BB4" s="47"/>
      <c r="BC4" s="45">
        <f t="shared" ref="BC4:BC19" si="4">CC4+(CC4*CO4/100)+DA4+(DA4*DM4/100)</f>
        <v>0</v>
      </c>
      <c r="BD4" s="45">
        <f t="shared" ref="BD4:BD19" si="5">CD4+(CD4*CP4/100)+DB4+(DB4*DN4/100)</f>
        <v>0</v>
      </c>
      <c r="BE4" s="46"/>
      <c r="BF4" s="46"/>
      <c r="BG4" s="47"/>
      <c r="BH4" s="45">
        <f t="shared" ref="BH4:BH19" si="6">CG4+(CG4*CQ4/100)+DE4+(DE4*DO4/100)</f>
        <v>0</v>
      </c>
      <c r="BI4" s="45">
        <f t="shared" ref="BI4:BI19" si="7">CH4+(CH4*CR4/100)+DF4+(DF4*DP4/100)</f>
        <v>0</v>
      </c>
      <c r="BJ4" s="46"/>
      <c r="BK4" s="46"/>
      <c r="BL4" s="47"/>
      <c r="BM4" s="48">
        <v>5000</v>
      </c>
      <c r="BN4" s="45">
        <f t="shared" ref="BN4:BN19" si="8">IF(BM4&gt;0,AS4+(AT4*BM4/1000),"")</f>
        <v>0</v>
      </c>
      <c r="BO4" s="48">
        <v>5100</v>
      </c>
      <c r="BP4" s="45">
        <f t="shared" ref="BP4:BP19" si="9">IF(BO4&gt;0,AX4+(AY4*BO4/1000),"")</f>
        <v>0</v>
      </c>
      <c r="BQ4" s="48">
        <v>50000</v>
      </c>
      <c r="BR4" s="45">
        <f t="shared" ref="BR4:BR19" si="10">IF(BQ4&gt;0,BC4+(BD4*BQ4/1000),"")</f>
        <v>0</v>
      </c>
      <c r="BS4" s="48">
        <v>51000</v>
      </c>
      <c r="BT4" s="45">
        <f t="shared" ref="BT4:BT19" si="11">IF(BS4&gt;0,BH4+(BI4*BS4/1000),"")</f>
        <v>0</v>
      </c>
      <c r="BU4" s="45"/>
      <c r="BV4" s="45"/>
      <c r="BW4" s="49"/>
      <c r="BX4" s="49"/>
      <c r="BY4" s="45"/>
      <c r="BZ4" s="45"/>
      <c r="CA4" s="49"/>
      <c r="CB4" s="49"/>
      <c r="CC4" s="45"/>
      <c r="CD4" s="45"/>
      <c r="CE4" s="49"/>
      <c r="CF4" s="49"/>
      <c r="CG4" s="45"/>
      <c r="CH4" s="45"/>
      <c r="CI4" s="49"/>
      <c r="CJ4" s="49"/>
      <c r="CK4" s="45">
        <v>125</v>
      </c>
      <c r="CL4" s="45">
        <v>125</v>
      </c>
      <c r="CM4" s="45">
        <v>125</v>
      </c>
      <c r="CN4" s="45">
        <v>125</v>
      </c>
      <c r="CO4" s="45">
        <v>125</v>
      </c>
      <c r="CP4" s="45">
        <v>125</v>
      </c>
      <c r="CQ4" s="45">
        <v>125</v>
      </c>
      <c r="CR4" s="45">
        <v>125</v>
      </c>
      <c r="CS4" s="50"/>
      <c r="CT4" s="50"/>
      <c r="CU4" s="49"/>
      <c r="CV4" s="49"/>
      <c r="CW4" s="50"/>
      <c r="CX4" s="50"/>
      <c r="CY4" s="49"/>
      <c r="CZ4" s="49"/>
      <c r="DA4" s="50"/>
      <c r="DB4" s="50"/>
      <c r="DC4" s="49"/>
      <c r="DD4" s="49"/>
      <c r="DE4" s="50"/>
      <c r="DF4" s="50"/>
      <c r="DG4" s="49"/>
      <c r="DH4" s="49"/>
      <c r="DI4" s="45">
        <v>140</v>
      </c>
      <c r="DJ4" s="45">
        <v>140</v>
      </c>
      <c r="DK4" s="45">
        <v>140</v>
      </c>
      <c r="DL4" s="45">
        <v>140</v>
      </c>
      <c r="DM4" s="45">
        <v>140</v>
      </c>
      <c r="DN4" s="45">
        <v>140</v>
      </c>
      <c r="DO4" s="45">
        <v>140</v>
      </c>
      <c r="DP4" s="45">
        <v>140</v>
      </c>
    </row>
    <row r="5" s="51" customFormat="1" ht="66">
      <c r="A5" s="52">
        <v>1000000</v>
      </c>
      <c r="B5" s="53" t="s">
        <v>80</v>
      </c>
      <c r="C5" s="54" t="s">
        <v>81</v>
      </c>
      <c r="D5" s="52">
        <v>1100000</v>
      </c>
      <c r="E5" s="54" t="s">
        <v>82</v>
      </c>
      <c r="F5" s="55" t="s">
        <v>83</v>
      </c>
      <c r="G5" s="55">
        <v>1110000</v>
      </c>
      <c r="H5" s="55" t="s">
        <v>84</v>
      </c>
      <c r="I5" s="56" t="s">
        <v>85</v>
      </c>
      <c r="J5" s="53">
        <v>1110100</v>
      </c>
      <c r="K5" s="51" t="s">
        <v>36</v>
      </c>
      <c r="L5" s="53" t="s">
        <v>86</v>
      </c>
      <c r="M5" s="57" t="s">
        <v>82</v>
      </c>
      <c r="N5" s="57" t="s">
        <v>87</v>
      </c>
      <c r="O5" s="57" t="s">
        <v>88</v>
      </c>
      <c r="P5" s="51" t="s">
        <v>89</v>
      </c>
      <c r="Q5" s="51" t="s">
        <v>90</v>
      </c>
      <c r="T5" s="57"/>
      <c r="U5" s="51" t="s">
        <v>91</v>
      </c>
      <c r="X5" s="57"/>
      <c r="AA5" s="58"/>
      <c r="AB5" s="58"/>
      <c r="AC5" s="58"/>
      <c r="AD5" s="58"/>
      <c r="AE5" s="58"/>
      <c r="AF5" s="58"/>
      <c r="AG5" s="58"/>
      <c r="AH5" s="58"/>
      <c r="AI5" s="58"/>
      <c r="AJ5" s="58"/>
      <c r="AK5" s="58"/>
      <c r="AL5" s="58"/>
      <c r="AM5" s="58"/>
      <c r="AN5" s="59"/>
      <c r="AO5" s="58">
        <v>500</v>
      </c>
      <c r="AP5" s="60">
        <v>100000</v>
      </c>
      <c r="AQ5" s="61"/>
      <c r="AR5" s="51" t="s">
        <v>92</v>
      </c>
      <c r="AS5" s="62">
        <f t="shared" si="0"/>
        <v>290.43899999999996</v>
      </c>
      <c r="AT5" s="62">
        <f t="shared" si="1"/>
        <v>135.036</v>
      </c>
      <c r="AU5" s="63">
        <v>7</v>
      </c>
      <c r="AV5" s="63">
        <v>4</v>
      </c>
      <c r="AW5" s="64">
        <v>25</v>
      </c>
      <c r="AX5" s="62">
        <f t="shared" si="2"/>
        <v>274.82399999999996</v>
      </c>
      <c r="AY5" s="62">
        <f t="shared" si="3"/>
        <v>127.77599999999998</v>
      </c>
      <c r="AZ5" s="63">
        <v>7</v>
      </c>
      <c r="BA5" s="63">
        <v>4</v>
      </c>
      <c r="BB5" s="64">
        <v>17</v>
      </c>
      <c r="BC5" s="62">
        <f t="shared" si="4"/>
        <v>259.209</v>
      </c>
      <c r="BD5" s="62">
        <f t="shared" si="5"/>
        <v>120.51599999999999</v>
      </c>
      <c r="BE5" s="63">
        <v>7</v>
      </c>
      <c r="BF5" s="63">
        <v>5</v>
      </c>
      <c r="BG5" s="64">
        <v>15</v>
      </c>
      <c r="BH5" s="62">
        <f t="shared" si="6"/>
        <v>243.59399999999999</v>
      </c>
      <c r="BI5" s="62">
        <f t="shared" si="7"/>
        <v>113.256</v>
      </c>
      <c r="BJ5" s="63">
        <v>8</v>
      </c>
      <c r="BK5" s="63">
        <v>5</v>
      </c>
      <c r="BL5" s="64">
        <v>13.5</v>
      </c>
      <c r="BM5" s="52">
        <v>5000</v>
      </c>
      <c r="BN5" s="62">
        <f t="shared" si="8"/>
        <v>965.61899999999991</v>
      </c>
      <c r="BO5" s="52">
        <v>10000</v>
      </c>
      <c r="BP5" s="62">
        <f t="shared" si="9"/>
        <v>1552.5839999999998</v>
      </c>
      <c r="BQ5" s="52">
        <v>10100</v>
      </c>
      <c r="BR5" s="62">
        <f t="shared" si="10"/>
        <v>1476.4205999999999</v>
      </c>
      <c r="BS5" s="52"/>
      <c r="BT5" s="62" t="str">
        <f t="shared" si="11"/>
        <v/>
      </c>
      <c r="BU5" s="62">
        <v>104.09999999999999</v>
      </c>
      <c r="BV5" s="62">
        <v>48.399999999999999</v>
      </c>
      <c r="BY5" s="62">
        <v>104.09999999999999</v>
      </c>
      <c r="BZ5" s="62">
        <v>48.399999999999999</v>
      </c>
      <c r="CC5" s="62">
        <v>104.09999999999999</v>
      </c>
      <c r="CD5" s="62">
        <v>48.399999999999999</v>
      </c>
      <c r="CG5" s="62">
        <v>104.09999999999999</v>
      </c>
      <c r="CH5" s="62">
        <v>48.399999999999999</v>
      </c>
      <c r="CK5" s="62">
        <v>179</v>
      </c>
      <c r="CL5" s="62">
        <v>179</v>
      </c>
      <c r="CM5" s="62">
        <v>164</v>
      </c>
      <c r="CN5" s="62">
        <v>164</v>
      </c>
      <c r="CO5" s="62">
        <v>149</v>
      </c>
      <c r="CP5" s="62">
        <v>149</v>
      </c>
      <c r="CQ5" s="62">
        <v>134</v>
      </c>
      <c r="CR5" s="62">
        <v>134</v>
      </c>
      <c r="CS5" s="62"/>
      <c r="CT5" s="62"/>
      <c r="CW5" s="62"/>
      <c r="CX5" s="62"/>
      <c r="DA5" s="62"/>
      <c r="DB5" s="62"/>
      <c r="DE5" s="62"/>
      <c r="DF5" s="62"/>
      <c r="DI5" s="62"/>
      <c r="DJ5" s="62"/>
      <c r="DK5" s="62"/>
      <c r="DL5" s="62"/>
      <c r="DM5" s="62"/>
      <c r="DN5" s="62"/>
      <c r="DO5" s="62"/>
      <c r="DP5" s="62"/>
    </row>
    <row r="6" s="65" customFormat="1" ht="27.75" customHeight="1">
      <c r="A6" s="52">
        <v>1000000</v>
      </c>
      <c r="B6" s="53" t="s">
        <v>80</v>
      </c>
      <c r="C6" s="54" t="s">
        <v>81</v>
      </c>
      <c r="D6" s="52">
        <v>1100000</v>
      </c>
      <c r="E6" s="54" t="s">
        <v>82</v>
      </c>
      <c r="F6" s="55" t="s">
        <v>83</v>
      </c>
      <c r="G6" s="55">
        <v>1110000</v>
      </c>
      <c r="H6" s="55" t="s">
        <v>84</v>
      </c>
      <c r="I6" s="56" t="s">
        <v>85</v>
      </c>
      <c r="J6" s="53">
        <v>1110200</v>
      </c>
      <c r="K6" s="51" t="s">
        <v>93</v>
      </c>
      <c r="L6" s="53" t="s">
        <v>94</v>
      </c>
      <c r="M6" s="57" t="s">
        <v>82</v>
      </c>
      <c r="N6" s="57" t="s">
        <v>95</v>
      </c>
      <c r="O6" s="57" t="s">
        <v>88</v>
      </c>
      <c r="P6" s="51" t="s">
        <v>89</v>
      </c>
      <c r="Q6" s="51" t="s">
        <v>90</v>
      </c>
      <c r="T6" s="51" t="s">
        <v>96</v>
      </c>
      <c r="U6" s="51" t="s">
        <v>91</v>
      </c>
      <c r="X6" s="66"/>
      <c r="AA6" s="67"/>
      <c r="AB6" s="67"/>
      <c r="AC6" s="67"/>
      <c r="AD6" s="67"/>
      <c r="AE6" s="67"/>
      <c r="AF6" s="67"/>
      <c r="AG6" s="67"/>
      <c r="AH6" s="67"/>
      <c r="AI6" s="67"/>
      <c r="AJ6" s="67"/>
      <c r="AK6" s="67"/>
      <c r="AL6" s="67"/>
      <c r="AM6" s="67"/>
      <c r="AN6" s="68"/>
      <c r="AO6" s="58">
        <v>500</v>
      </c>
      <c r="AP6" s="60">
        <v>100000</v>
      </c>
      <c r="AQ6" s="69"/>
      <c r="AR6" s="51" t="s">
        <v>92</v>
      </c>
      <c r="AS6" s="62">
        <f t="shared" si="0"/>
        <v>290.43899999999996</v>
      </c>
      <c r="AT6" s="62">
        <f t="shared" si="1"/>
        <v>143.40600000000001</v>
      </c>
      <c r="AU6" s="63">
        <v>7</v>
      </c>
      <c r="AV6" s="63">
        <v>4</v>
      </c>
      <c r="AW6" s="64">
        <v>29</v>
      </c>
      <c r="AX6" s="62">
        <f t="shared" si="2"/>
        <v>274.82399999999996</v>
      </c>
      <c r="AY6" s="62">
        <f t="shared" si="3"/>
        <v>135.696</v>
      </c>
      <c r="AZ6" s="63">
        <v>7</v>
      </c>
      <c r="BA6" s="63">
        <v>4</v>
      </c>
      <c r="BB6" s="64">
        <v>21</v>
      </c>
      <c r="BC6" s="62">
        <f t="shared" si="4"/>
        <v>259.209</v>
      </c>
      <c r="BD6" s="62">
        <f t="shared" si="5"/>
        <v>127.98599999999999</v>
      </c>
      <c r="BE6" s="63">
        <v>7</v>
      </c>
      <c r="BF6" s="63">
        <v>5</v>
      </c>
      <c r="BG6" s="64">
        <v>19</v>
      </c>
      <c r="BH6" s="62">
        <f t="shared" si="6"/>
        <v>243.59399999999999</v>
      </c>
      <c r="BI6" s="62">
        <f t="shared" si="7"/>
        <v>120.27599999999998</v>
      </c>
      <c r="BJ6" s="63">
        <v>8</v>
      </c>
      <c r="BK6" s="63">
        <v>5</v>
      </c>
      <c r="BL6" s="64">
        <v>17.5</v>
      </c>
      <c r="BM6" s="52"/>
      <c r="BN6" s="62" t="str">
        <f t="shared" si="8"/>
        <v/>
      </c>
      <c r="BO6" s="52"/>
      <c r="BP6" s="62" t="str">
        <f t="shared" si="9"/>
        <v/>
      </c>
      <c r="BQ6" s="52"/>
      <c r="BR6" s="62" t="str">
        <f t="shared" si="10"/>
        <v/>
      </c>
      <c r="BS6" s="52"/>
      <c r="BT6" s="62" t="str">
        <f t="shared" si="11"/>
        <v/>
      </c>
      <c r="BU6" s="62">
        <v>104.09999999999999</v>
      </c>
      <c r="BV6" s="62">
        <v>51.399999999999999</v>
      </c>
      <c r="BY6" s="62">
        <v>104.09999999999999</v>
      </c>
      <c r="BZ6" s="62">
        <v>51.399999999999999</v>
      </c>
      <c r="CC6" s="62">
        <v>104.09999999999999</v>
      </c>
      <c r="CD6" s="62">
        <v>51.399999999999999</v>
      </c>
      <c r="CG6" s="62">
        <v>104.09999999999999</v>
      </c>
      <c r="CH6" s="62">
        <v>51.399999999999999</v>
      </c>
      <c r="CK6" s="62">
        <v>179</v>
      </c>
      <c r="CL6" s="62">
        <v>179</v>
      </c>
      <c r="CM6" s="62">
        <v>164</v>
      </c>
      <c r="CN6" s="62">
        <v>164</v>
      </c>
      <c r="CO6" s="62">
        <v>149</v>
      </c>
      <c r="CP6" s="62">
        <v>149</v>
      </c>
      <c r="CQ6" s="62">
        <v>134</v>
      </c>
      <c r="CR6" s="62">
        <v>134</v>
      </c>
      <c r="CS6" s="62"/>
      <c r="CT6" s="62"/>
      <c r="CW6" s="62"/>
      <c r="CX6" s="62"/>
      <c r="DA6" s="62"/>
      <c r="DB6" s="62"/>
      <c r="DE6" s="62"/>
      <c r="DF6" s="62"/>
      <c r="DI6" s="62"/>
      <c r="DJ6" s="62"/>
      <c r="DK6" s="62"/>
      <c r="DL6" s="62"/>
      <c r="DM6" s="62"/>
      <c r="DN6" s="62"/>
      <c r="DO6" s="62"/>
      <c r="DP6" s="62"/>
    </row>
    <row r="7" s="65" customFormat="1" ht="15.75" customHeight="1">
      <c r="A7" s="52">
        <v>1000000</v>
      </c>
      <c r="B7" s="53" t="s">
        <v>80</v>
      </c>
      <c r="C7" s="54" t="s">
        <v>81</v>
      </c>
      <c r="D7" s="52">
        <v>1100000</v>
      </c>
      <c r="E7" s="54" t="s">
        <v>82</v>
      </c>
      <c r="F7" s="55" t="s">
        <v>83</v>
      </c>
      <c r="G7" s="55">
        <v>1110000</v>
      </c>
      <c r="H7" s="55" t="s">
        <v>84</v>
      </c>
      <c r="I7" s="56" t="s">
        <v>85</v>
      </c>
      <c r="J7" s="53">
        <v>1110300</v>
      </c>
      <c r="K7" s="51" t="s">
        <v>97</v>
      </c>
      <c r="L7" s="53" t="s">
        <v>98</v>
      </c>
      <c r="M7" s="57" t="s">
        <v>82</v>
      </c>
      <c r="N7" s="57" t="s">
        <v>99</v>
      </c>
      <c r="O7" s="57" t="s">
        <v>88</v>
      </c>
      <c r="P7" s="51" t="s">
        <v>89</v>
      </c>
      <c r="Q7" s="51" t="s">
        <v>90</v>
      </c>
      <c r="R7" s="51" t="s">
        <v>100</v>
      </c>
      <c r="T7" s="66"/>
      <c r="U7" s="51" t="s">
        <v>91</v>
      </c>
      <c r="X7" s="66"/>
      <c r="AA7" s="67"/>
      <c r="AB7" s="67"/>
      <c r="AC7" s="67"/>
      <c r="AD7" s="67"/>
      <c r="AE7" s="67"/>
      <c r="AF7" s="67"/>
      <c r="AG7" s="67"/>
      <c r="AH7" s="67"/>
      <c r="AI7" s="67"/>
      <c r="AJ7" s="67"/>
      <c r="AK7" s="67"/>
      <c r="AL7" s="67"/>
      <c r="AM7" s="67"/>
      <c r="AN7" s="68"/>
      <c r="AO7" s="58">
        <v>500</v>
      </c>
      <c r="AP7" s="60">
        <v>100000</v>
      </c>
      <c r="AQ7" s="69"/>
      <c r="AR7" s="51" t="s">
        <v>92</v>
      </c>
      <c r="AS7" s="62">
        <f t="shared" si="0"/>
        <v>290.43899999999996</v>
      </c>
      <c r="AT7" s="62">
        <f t="shared" si="1"/>
        <v>160.14600000000002</v>
      </c>
      <c r="AU7" s="63">
        <v>7</v>
      </c>
      <c r="AV7" s="63">
        <v>4</v>
      </c>
      <c r="AW7" s="64">
        <v>33</v>
      </c>
      <c r="AX7" s="62">
        <f t="shared" si="2"/>
        <v>274.82399999999996</v>
      </c>
      <c r="AY7" s="62">
        <f t="shared" si="3"/>
        <v>151.536</v>
      </c>
      <c r="AZ7" s="63">
        <v>7</v>
      </c>
      <c r="BA7" s="63">
        <v>4</v>
      </c>
      <c r="BB7" s="64">
        <v>25</v>
      </c>
      <c r="BC7" s="62">
        <f t="shared" si="4"/>
        <v>259.209</v>
      </c>
      <c r="BD7" s="62">
        <f t="shared" si="5"/>
        <v>142.92600000000002</v>
      </c>
      <c r="BE7" s="63">
        <v>7</v>
      </c>
      <c r="BF7" s="63">
        <v>5</v>
      </c>
      <c r="BG7" s="64">
        <v>23</v>
      </c>
      <c r="BH7" s="62">
        <f t="shared" si="6"/>
        <v>243.59399999999999</v>
      </c>
      <c r="BI7" s="62">
        <f t="shared" si="7"/>
        <v>134.316</v>
      </c>
      <c r="BJ7" s="63">
        <v>9</v>
      </c>
      <c r="BK7" s="63"/>
      <c r="BL7" s="64"/>
      <c r="BM7" s="52">
        <v>2000</v>
      </c>
      <c r="BN7" s="62">
        <f t="shared" si="8"/>
        <v>610.73099999999999</v>
      </c>
      <c r="BO7" s="52">
        <v>6000</v>
      </c>
      <c r="BP7" s="62">
        <f t="shared" si="9"/>
        <v>1184.04</v>
      </c>
      <c r="BQ7" s="52">
        <v>12000</v>
      </c>
      <c r="BR7" s="62">
        <f t="shared" si="10"/>
        <v>1974.3210000000004</v>
      </c>
      <c r="BS7" s="52">
        <v>51000</v>
      </c>
      <c r="BT7" s="62">
        <f t="shared" si="11"/>
        <v>7093.71</v>
      </c>
      <c r="BU7" s="62">
        <v>104.09999999999999</v>
      </c>
      <c r="BV7" s="62">
        <v>57.399999999999999</v>
      </c>
      <c r="BY7" s="62">
        <v>104.09999999999999</v>
      </c>
      <c r="BZ7" s="62">
        <v>57.399999999999999</v>
      </c>
      <c r="CC7" s="62">
        <v>104.09999999999999</v>
      </c>
      <c r="CD7" s="62">
        <v>57.399999999999999</v>
      </c>
      <c r="CG7" s="62">
        <v>104.09999999999999</v>
      </c>
      <c r="CH7" s="62">
        <v>57.399999999999999</v>
      </c>
      <c r="CK7" s="62">
        <v>179</v>
      </c>
      <c r="CL7" s="62">
        <v>179</v>
      </c>
      <c r="CM7" s="62">
        <v>164</v>
      </c>
      <c r="CN7" s="62">
        <v>164</v>
      </c>
      <c r="CO7" s="62">
        <v>149</v>
      </c>
      <c r="CP7" s="62">
        <v>149</v>
      </c>
      <c r="CQ7" s="62">
        <v>134</v>
      </c>
      <c r="CR7" s="62">
        <v>134</v>
      </c>
      <c r="CS7" s="62"/>
      <c r="CT7" s="62"/>
      <c r="CW7" s="62"/>
      <c r="CX7" s="62"/>
      <c r="DA7" s="62"/>
      <c r="DB7" s="62"/>
      <c r="DE7" s="62"/>
      <c r="DF7" s="62"/>
      <c r="DI7" s="62"/>
      <c r="DJ7" s="62"/>
      <c r="DK7" s="62"/>
      <c r="DL7" s="62"/>
      <c r="DM7" s="62"/>
      <c r="DN7" s="62"/>
      <c r="DO7" s="62"/>
      <c r="DP7" s="62"/>
    </row>
    <row r="8" s="65" customFormat="1" ht="15.75" customHeight="1">
      <c r="A8" s="52">
        <v>1000000</v>
      </c>
      <c r="B8" s="53" t="s">
        <v>80</v>
      </c>
      <c r="C8" s="54" t="s">
        <v>81</v>
      </c>
      <c r="D8" s="52">
        <v>1100000</v>
      </c>
      <c r="E8" s="54" t="s">
        <v>82</v>
      </c>
      <c r="F8" s="55" t="s">
        <v>83</v>
      </c>
      <c r="G8" s="55">
        <v>1110000</v>
      </c>
      <c r="H8" s="55" t="s">
        <v>84</v>
      </c>
      <c r="I8" s="56" t="s">
        <v>85</v>
      </c>
      <c r="J8" s="53">
        <v>1110400</v>
      </c>
      <c r="K8" s="51" t="s">
        <v>101</v>
      </c>
      <c r="L8" s="53" t="s">
        <v>102</v>
      </c>
      <c r="M8" s="57" t="s">
        <v>82</v>
      </c>
      <c r="N8" s="57" t="s">
        <v>103</v>
      </c>
      <c r="O8" s="57" t="s">
        <v>88</v>
      </c>
      <c r="P8" s="51" t="s">
        <v>89</v>
      </c>
      <c r="Q8" s="51" t="s">
        <v>90</v>
      </c>
      <c r="R8" s="51" t="s">
        <v>100</v>
      </c>
      <c r="T8" s="51" t="s">
        <v>96</v>
      </c>
      <c r="U8" s="51" t="s">
        <v>91</v>
      </c>
      <c r="X8" s="66"/>
      <c r="AA8" s="67"/>
      <c r="AB8" s="67"/>
      <c r="AC8" s="67"/>
      <c r="AD8" s="67"/>
      <c r="AE8" s="67"/>
      <c r="AF8" s="67"/>
      <c r="AG8" s="67"/>
      <c r="AH8" s="67"/>
      <c r="AI8" s="67"/>
      <c r="AJ8" s="67"/>
      <c r="AK8" s="67"/>
      <c r="AL8" s="67"/>
      <c r="AM8" s="67"/>
      <c r="AN8" s="68"/>
      <c r="AO8" s="58">
        <v>500</v>
      </c>
      <c r="AP8" s="60">
        <v>100000</v>
      </c>
      <c r="AQ8" s="69"/>
      <c r="AR8" s="51" t="s">
        <v>92</v>
      </c>
      <c r="AS8" s="62">
        <f t="shared" si="0"/>
        <v>290.43899999999996</v>
      </c>
      <c r="AT8" s="62">
        <f t="shared" si="1"/>
        <v>168.51599999999999</v>
      </c>
      <c r="AU8" s="63">
        <v>7</v>
      </c>
      <c r="AV8" s="63">
        <v>4</v>
      </c>
      <c r="AW8" s="64">
        <v>37</v>
      </c>
      <c r="AX8" s="62">
        <f t="shared" si="2"/>
        <v>274.82399999999996</v>
      </c>
      <c r="AY8" s="62">
        <f t="shared" si="3"/>
        <v>159.45599999999999</v>
      </c>
      <c r="AZ8" s="63">
        <v>7</v>
      </c>
      <c r="BA8" s="63">
        <v>4</v>
      </c>
      <c r="BB8" s="64">
        <v>29</v>
      </c>
      <c r="BC8" s="62">
        <f t="shared" si="4"/>
        <v>259.209</v>
      </c>
      <c r="BD8" s="62">
        <f t="shared" si="5"/>
        <v>150.39600000000002</v>
      </c>
      <c r="BE8" s="63">
        <v>7</v>
      </c>
      <c r="BF8" s="63">
        <v>5</v>
      </c>
      <c r="BG8" s="64">
        <v>27</v>
      </c>
      <c r="BH8" s="62">
        <f t="shared" si="6"/>
        <v>243.59399999999999</v>
      </c>
      <c r="BI8" s="62">
        <f t="shared" si="7"/>
        <v>141.33599999999998</v>
      </c>
      <c r="BJ8" s="63">
        <v>9</v>
      </c>
      <c r="BK8" s="63"/>
      <c r="BL8" s="64"/>
      <c r="BM8" s="52">
        <v>2000</v>
      </c>
      <c r="BN8" s="62">
        <f t="shared" si="8"/>
        <v>627.471</v>
      </c>
      <c r="BO8" s="52">
        <v>10000</v>
      </c>
      <c r="BP8" s="62">
        <f t="shared" si="9"/>
        <v>1869.384</v>
      </c>
      <c r="BQ8" s="52">
        <v>50000</v>
      </c>
      <c r="BR8" s="62">
        <f t="shared" si="10"/>
        <v>7779.0090000000009</v>
      </c>
      <c r="BS8" s="52">
        <v>51000</v>
      </c>
      <c r="BT8" s="62">
        <f t="shared" si="11"/>
        <v>7451.7299999999996</v>
      </c>
      <c r="BU8" s="62">
        <v>104.09999999999999</v>
      </c>
      <c r="BV8" s="62">
        <v>60.399999999999999</v>
      </c>
      <c r="BY8" s="62">
        <v>104.09999999999999</v>
      </c>
      <c r="BZ8" s="62">
        <v>60.399999999999999</v>
      </c>
      <c r="CC8" s="62">
        <v>104.09999999999999</v>
      </c>
      <c r="CD8" s="62">
        <v>60.399999999999999</v>
      </c>
      <c r="CG8" s="62">
        <v>104.09999999999999</v>
      </c>
      <c r="CH8" s="62">
        <v>60.399999999999999</v>
      </c>
      <c r="CK8" s="62">
        <v>179</v>
      </c>
      <c r="CL8" s="62">
        <v>179</v>
      </c>
      <c r="CM8" s="62">
        <v>164</v>
      </c>
      <c r="CN8" s="62">
        <v>164</v>
      </c>
      <c r="CO8" s="62">
        <v>149</v>
      </c>
      <c r="CP8" s="62">
        <v>149</v>
      </c>
      <c r="CQ8" s="62">
        <v>134</v>
      </c>
      <c r="CR8" s="62">
        <v>134</v>
      </c>
      <c r="CS8" s="62"/>
      <c r="CT8" s="62"/>
      <c r="CW8" s="62"/>
      <c r="CX8" s="62"/>
      <c r="DA8" s="62"/>
      <c r="DB8" s="62"/>
      <c r="DE8" s="62"/>
      <c r="DF8" s="62"/>
      <c r="DI8" s="62"/>
      <c r="DJ8" s="62"/>
      <c r="DK8" s="62"/>
      <c r="DL8" s="62"/>
      <c r="DM8" s="62"/>
      <c r="DN8" s="62"/>
      <c r="DO8" s="62"/>
      <c r="DP8" s="62"/>
    </row>
    <row r="9" s="65" customFormat="1" ht="15.75" customHeight="1">
      <c r="A9" s="52">
        <v>1000000</v>
      </c>
      <c r="B9" s="53" t="s">
        <v>80</v>
      </c>
      <c r="C9" s="54" t="s">
        <v>81</v>
      </c>
      <c r="D9" s="52">
        <v>1100000</v>
      </c>
      <c r="E9" s="54" t="s">
        <v>82</v>
      </c>
      <c r="F9" s="55" t="s">
        <v>83</v>
      </c>
      <c r="G9" s="55">
        <v>1110000</v>
      </c>
      <c r="H9" s="55" t="s">
        <v>84</v>
      </c>
      <c r="I9" s="56" t="s">
        <v>85</v>
      </c>
      <c r="J9" s="53">
        <v>1110500</v>
      </c>
      <c r="K9" s="51" t="s">
        <v>104</v>
      </c>
      <c r="L9" s="53" t="s">
        <v>105</v>
      </c>
      <c r="M9" s="57" t="s">
        <v>82</v>
      </c>
      <c r="N9" s="57" t="s">
        <v>106</v>
      </c>
      <c r="O9" s="57" t="s">
        <v>88</v>
      </c>
      <c r="P9" s="51" t="s">
        <v>89</v>
      </c>
      <c r="Q9" s="51" t="s">
        <v>90</v>
      </c>
      <c r="S9" s="51" t="s">
        <v>107</v>
      </c>
      <c r="T9" s="66"/>
      <c r="U9" s="51" t="s">
        <v>91</v>
      </c>
      <c r="X9" s="66"/>
      <c r="AA9" s="67"/>
      <c r="AB9" s="67"/>
      <c r="AC9" s="67"/>
      <c r="AD9" s="67"/>
      <c r="AE9" s="67"/>
      <c r="AF9" s="67"/>
      <c r="AG9" s="67"/>
      <c r="AH9" s="67"/>
      <c r="AI9" s="67"/>
      <c r="AJ9" s="67"/>
      <c r="AK9" s="67"/>
      <c r="AL9" s="67"/>
      <c r="AM9" s="67"/>
      <c r="AN9" s="68"/>
      <c r="AO9" s="58">
        <v>500</v>
      </c>
      <c r="AP9" s="60">
        <v>20000</v>
      </c>
      <c r="AQ9" s="69"/>
      <c r="AR9" s="51" t="s">
        <v>92</v>
      </c>
      <c r="AS9" s="62">
        <f t="shared" si="0"/>
        <v>290.43899999999996</v>
      </c>
      <c r="AT9" s="62">
        <f t="shared" si="1"/>
        <v>149.8509</v>
      </c>
      <c r="AU9" s="63">
        <v>10</v>
      </c>
      <c r="AV9" s="63">
        <v>8</v>
      </c>
      <c r="AW9" s="64">
        <v>29</v>
      </c>
      <c r="AX9" s="62">
        <f t="shared" si="2"/>
        <v>274.82399999999996</v>
      </c>
      <c r="AY9" s="62">
        <f t="shared" si="3"/>
        <v>141.7944</v>
      </c>
      <c r="AZ9" s="63">
        <v>8</v>
      </c>
      <c r="BA9" s="63">
        <v>6</v>
      </c>
      <c r="BB9" s="64">
        <v>21</v>
      </c>
      <c r="BC9" s="62">
        <f t="shared" si="4"/>
        <v>259.209</v>
      </c>
      <c r="BD9" s="62">
        <f t="shared" si="5"/>
        <v>133.7379</v>
      </c>
      <c r="BE9" s="63">
        <v>11</v>
      </c>
      <c r="BF9" s="63">
        <v>9</v>
      </c>
      <c r="BG9" s="64">
        <v>19</v>
      </c>
      <c r="BH9" s="62">
        <f t="shared" si="6"/>
        <v>243.59399999999999</v>
      </c>
      <c r="BI9" s="62">
        <f t="shared" si="7"/>
        <v>125.6814</v>
      </c>
      <c r="BJ9" s="63">
        <v>12</v>
      </c>
      <c r="BK9" s="63"/>
      <c r="BL9" s="64"/>
      <c r="BM9" s="52"/>
      <c r="BN9" s="62" t="str">
        <f t="shared" si="8"/>
        <v/>
      </c>
      <c r="BO9" s="52"/>
      <c r="BP9" s="62" t="str">
        <f t="shared" si="9"/>
        <v/>
      </c>
      <c r="BQ9" s="52"/>
      <c r="BR9" s="62" t="str">
        <f t="shared" si="10"/>
        <v/>
      </c>
      <c r="BS9" s="52"/>
      <c r="BT9" s="62" t="str">
        <f t="shared" si="11"/>
        <v/>
      </c>
      <c r="BU9" s="62">
        <v>104.09999999999999</v>
      </c>
      <c r="BV9" s="62">
        <v>53.710000000000001</v>
      </c>
      <c r="BY9" s="62">
        <v>104.09999999999999</v>
      </c>
      <c r="BZ9" s="62">
        <v>53.710000000000001</v>
      </c>
      <c r="CC9" s="62">
        <v>104.09999999999999</v>
      </c>
      <c r="CD9" s="62">
        <v>53.710000000000001</v>
      </c>
      <c r="CG9" s="62">
        <v>104.09999999999999</v>
      </c>
      <c r="CH9" s="62">
        <v>53.710000000000001</v>
      </c>
      <c r="CK9" s="62">
        <v>179</v>
      </c>
      <c r="CL9" s="62">
        <v>179</v>
      </c>
      <c r="CM9" s="62">
        <v>164</v>
      </c>
      <c r="CN9" s="62">
        <v>164</v>
      </c>
      <c r="CO9" s="62">
        <v>149</v>
      </c>
      <c r="CP9" s="62">
        <v>149</v>
      </c>
      <c r="CQ9" s="62">
        <v>134</v>
      </c>
      <c r="CR9" s="62">
        <v>134</v>
      </c>
      <c r="CS9" s="62"/>
      <c r="CT9" s="62"/>
      <c r="CW9" s="62"/>
      <c r="CX9" s="62"/>
      <c r="DA9" s="62"/>
      <c r="DB9" s="62"/>
      <c r="DE9" s="62"/>
      <c r="DF9" s="62"/>
      <c r="DI9" s="62"/>
      <c r="DJ9" s="62"/>
      <c r="DK9" s="62"/>
      <c r="DL9" s="62"/>
      <c r="DM9" s="62"/>
      <c r="DN9" s="62"/>
      <c r="DO9" s="62"/>
      <c r="DP9" s="62"/>
    </row>
    <row r="10" s="65" customFormat="1" ht="15.75" customHeight="1">
      <c r="A10" s="52">
        <v>1000000</v>
      </c>
      <c r="B10" s="53" t="s">
        <v>80</v>
      </c>
      <c r="C10" s="54" t="s">
        <v>81</v>
      </c>
      <c r="D10" s="52">
        <v>1100000</v>
      </c>
      <c r="E10" s="54" t="s">
        <v>82</v>
      </c>
      <c r="F10" s="55" t="s">
        <v>83</v>
      </c>
      <c r="G10" s="55">
        <v>1110000</v>
      </c>
      <c r="H10" s="55" t="s">
        <v>84</v>
      </c>
      <c r="I10" s="56" t="s">
        <v>85</v>
      </c>
      <c r="J10" s="53">
        <v>1110600</v>
      </c>
      <c r="K10" s="51" t="s">
        <v>108</v>
      </c>
      <c r="L10" s="53" t="s">
        <v>109</v>
      </c>
      <c r="M10" s="57" t="s">
        <v>82</v>
      </c>
      <c r="N10" s="57" t="s">
        <v>110</v>
      </c>
      <c r="O10" s="57" t="s">
        <v>88</v>
      </c>
      <c r="P10" s="51" t="s">
        <v>89</v>
      </c>
      <c r="Q10" s="51" t="s">
        <v>90</v>
      </c>
      <c r="S10" s="51" t="s">
        <v>107</v>
      </c>
      <c r="T10" s="51" t="s">
        <v>96</v>
      </c>
      <c r="U10" s="51" t="s">
        <v>91</v>
      </c>
      <c r="X10" s="66"/>
      <c r="AA10" s="67"/>
      <c r="AB10" s="67"/>
      <c r="AC10" s="67"/>
      <c r="AD10" s="67"/>
      <c r="AE10" s="67"/>
      <c r="AF10" s="67"/>
      <c r="AG10" s="67"/>
      <c r="AH10" s="67"/>
      <c r="AI10" s="67"/>
      <c r="AJ10" s="67"/>
      <c r="AK10" s="67"/>
      <c r="AL10" s="67"/>
      <c r="AM10" s="67"/>
      <c r="AN10" s="68"/>
      <c r="AO10" s="58">
        <v>500</v>
      </c>
      <c r="AP10" s="60">
        <v>20000</v>
      </c>
      <c r="AQ10" s="69"/>
      <c r="AR10" s="51" t="s">
        <v>92</v>
      </c>
      <c r="AS10" s="62">
        <f t="shared" si="0"/>
        <v>290.43899999999996</v>
      </c>
      <c r="AT10" s="62">
        <f t="shared" si="1"/>
        <v>159.89490000000001</v>
      </c>
      <c r="AU10" s="63">
        <v>10</v>
      </c>
      <c r="AV10" s="63">
        <v>8</v>
      </c>
      <c r="AW10" s="64">
        <v>33</v>
      </c>
      <c r="AX10" s="62">
        <f t="shared" si="2"/>
        <v>274.82399999999996</v>
      </c>
      <c r="AY10" s="62">
        <f t="shared" si="3"/>
        <v>151.29840000000002</v>
      </c>
      <c r="AZ10" s="63">
        <v>8</v>
      </c>
      <c r="BA10" s="63">
        <v>6</v>
      </c>
      <c r="BB10" s="64">
        <v>25</v>
      </c>
      <c r="BC10" s="62">
        <f t="shared" si="4"/>
        <v>259.209</v>
      </c>
      <c r="BD10" s="62">
        <f t="shared" si="5"/>
        <v>142.70190000000002</v>
      </c>
      <c r="BE10" s="63">
        <v>11</v>
      </c>
      <c r="BF10" s="63">
        <v>9</v>
      </c>
      <c r="BG10" s="64">
        <v>23</v>
      </c>
      <c r="BH10" s="62">
        <f t="shared" si="6"/>
        <v>243.59399999999999</v>
      </c>
      <c r="BI10" s="62">
        <f t="shared" si="7"/>
        <v>134.1054</v>
      </c>
      <c r="BJ10" s="63">
        <v>12</v>
      </c>
      <c r="BK10" s="63"/>
      <c r="BL10" s="64"/>
      <c r="BM10" s="52"/>
      <c r="BN10" s="62" t="str">
        <f t="shared" si="8"/>
        <v/>
      </c>
      <c r="BO10" s="52"/>
      <c r="BP10" s="62" t="str">
        <f t="shared" si="9"/>
        <v/>
      </c>
      <c r="BQ10" s="52"/>
      <c r="BR10" s="62" t="str">
        <f t="shared" si="10"/>
        <v/>
      </c>
      <c r="BS10" s="52"/>
      <c r="BT10" s="62" t="str">
        <f t="shared" si="11"/>
        <v/>
      </c>
      <c r="BU10" s="62">
        <v>104.09999999999999</v>
      </c>
      <c r="BV10" s="62">
        <v>57.310000000000002</v>
      </c>
      <c r="BY10" s="62">
        <v>104.09999999999999</v>
      </c>
      <c r="BZ10" s="62">
        <v>57.310000000000002</v>
      </c>
      <c r="CC10" s="62">
        <v>104.09999999999999</v>
      </c>
      <c r="CD10" s="62">
        <v>57.310000000000002</v>
      </c>
      <c r="CG10" s="62">
        <v>104.09999999999999</v>
      </c>
      <c r="CH10" s="62">
        <v>57.310000000000002</v>
      </c>
      <c r="CK10" s="62">
        <v>179</v>
      </c>
      <c r="CL10" s="62">
        <v>179</v>
      </c>
      <c r="CM10" s="62">
        <v>164</v>
      </c>
      <c r="CN10" s="62">
        <v>164</v>
      </c>
      <c r="CO10" s="62">
        <v>149</v>
      </c>
      <c r="CP10" s="62">
        <v>149</v>
      </c>
      <c r="CQ10" s="62">
        <v>134</v>
      </c>
      <c r="CR10" s="62">
        <v>134</v>
      </c>
      <c r="CS10" s="62"/>
      <c r="CT10" s="62"/>
      <c r="CW10" s="62"/>
      <c r="CX10" s="62"/>
      <c r="DA10" s="62"/>
      <c r="DB10" s="62"/>
      <c r="DE10" s="62"/>
      <c r="DF10" s="62"/>
      <c r="DI10" s="62"/>
      <c r="DJ10" s="62"/>
      <c r="DK10" s="62"/>
      <c r="DL10" s="62"/>
      <c r="DM10" s="62"/>
      <c r="DN10" s="62"/>
      <c r="DO10" s="62"/>
      <c r="DP10" s="62"/>
    </row>
    <row r="11" s="70" customFormat="1" ht="94.5" customHeight="1">
      <c r="A11" s="71">
        <v>1000000</v>
      </c>
      <c r="B11" s="72" t="s">
        <v>80</v>
      </c>
      <c r="C11" s="73" t="s">
        <v>81</v>
      </c>
      <c r="D11" s="71">
        <v>1100000</v>
      </c>
      <c r="E11" s="73" t="s">
        <v>82</v>
      </c>
      <c r="F11" s="74" t="s">
        <v>83</v>
      </c>
      <c r="G11" s="74">
        <v>1120000</v>
      </c>
      <c r="H11" s="74" t="s">
        <v>111</v>
      </c>
      <c r="I11" s="75" t="s">
        <v>112</v>
      </c>
      <c r="J11" s="72">
        <v>1120100</v>
      </c>
      <c r="K11" s="76" t="s">
        <v>97</v>
      </c>
      <c r="L11" s="72" t="s">
        <v>113</v>
      </c>
      <c r="M11" s="77" t="s">
        <v>82</v>
      </c>
      <c r="N11" s="77" t="s">
        <v>114</v>
      </c>
      <c r="O11" s="77" t="s">
        <v>115</v>
      </c>
      <c r="P11" s="76" t="s">
        <v>116</v>
      </c>
      <c r="Q11" s="76" t="s">
        <v>90</v>
      </c>
      <c r="R11" s="76" t="s">
        <v>100</v>
      </c>
      <c r="T11" s="78"/>
      <c r="U11" s="76" t="s">
        <v>91</v>
      </c>
      <c r="X11" s="78"/>
      <c r="AA11" s="79"/>
      <c r="AB11" s="79"/>
      <c r="AC11" s="79"/>
      <c r="AD11" s="79"/>
      <c r="AE11" s="79"/>
      <c r="AF11" s="79"/>
      <c r="AG11" s="79"/>
      <c r="AH11" s="79"/>
      <c r="AI11" s="79"/>
      <c r="AJ11" s="79"/>
      <c r="AK11" s="79"/>
      <c r="AL11" s="79"/>
      <c r="AM11" s="79"/>
      <c r="AN11" s="80"/>
      <c r="AO11" s="81">
        <v>500</v>
      </c>
      <c r="AP11" s="82">
        <v>100000</v>
      </c>
      <c r="AQ11" s="83"/>
      <c r="AR11" s="76" t="s">
        <v>92</v>
      </c>
      <c r="AS11" s="84">
        <f t="shared" si="0"/>
        <v>318.33899999999994</v>
      </c>
      <c r="AT11" s="84">
        <f t="shared" si="1"/>
        <v>210.1986</v>
      </c>
      <c r="AU11" s="85">
        <v>12</v>
      </c>
      <c r="AV11" s="85">
        <v>9</v>
      </c>
      <c r="AW11" s="86">
        <v>33</v>
      </c>
      <c r="AX11" s="84">
        <f t="shared" si="2"/>
        <v>301.22399999999993</v>
      </c>
      <c r="AY11" s="84">
        <f t="shared" si="3"/>
        <v>198.89760000000001</v>
      </c>
      <c r="AZ11" s="85">
        <v>12</v>
      </c>
      <c r="BA11" s="85">
        <v>9</v>
      </c>
      <c r="BB11" s="86">
        <v>25</v>
      </c>
      <c r="BC11" s="84">
        <f t="shared" si="4"/>
        <v>284.10899999999998</v>
      </c>
      <c r="BD11" s="84">
        <f t="shared" si="5"/>
        <v>187.5966</v>
      </c>
      <c r="BE11" s="85">
        <v>12</v>
      </c>
      <c r="BF11" s="85">
        <v>9</v>
      </c>
      <c r="BG11" s="86">
        <v>23</v>
      </c>
      <c r="BH11" s="84">
        <f t="shared" si="6"/>
        <v>266.99400000000003</v>
      </c>
      <c r="BI11" s="84">
        <f t="shared" si="7"/>
        <v>176.29560000000004</v>
      </c>
      <c r="BJ11" s="85">
        <v>12</v>
      </c>
      <c r="BK11" s="87"/>
      <c r="BL11" s="88"/>
      <c r="BM11" s="71">
        <v>500</v>
      </c>
      <c r="BN11" s="84">
        <f t="shared" si="8"/>
        <v>423.43829999999991</v>
      </c>
      <c r="BO11" s="71">
        <v>6000</v>
      </c>
      <c r="BP11" s="84">
        <f t="shared" si="9"/>
        <v>1494.6096</v>
      </c>
      <c r="BQ11" s="71">
        <v>12000</v>
      </c>
      <c r="BR11" s="84">
        <f t="shared" si="10"/>
        <v>2535.2681999999995</v>
      </c>
      <c r="BS11" s="71">
        <v>51000</v>
      </c>
      <c r="BT11" s="84">
        <f t="shared" si="11"/>
        <v>9258.0696000000025</v>
      </c>
      <c r="BU11" s="84">
        <v>114.09999999999999</v>
      </c>
      <c r="BV11" s="84">
        <v>75.340000000000003</v>
      </c>
      <c r="BY11" s="84">
        <v>114.09999999999999</v>
      </c>
      <c r="BZ11" s="84">
        <v>75.340000000000003</v>
      </c>
      <c r="CC11" s="84">
        <v>114.09999999999999</v>
      </c>
      <c r="CD11" s="84">
        <v>75.340000000000003</v>
      </c>
      <c r="CG11" s="84">
        <v>114.09999999999999</v>
      </c>
      <c r="CH11" s="84">
        <v>75.340000000000003</v>
      </c>
      <c r="CK11" s="84">
        <v>179</v>
      </c>
      <c r="CL11" s="84">
        <v>179</v>
      </c>
      <c r="CM11" s="84">
        <v>164</v>
      </c>
      <c r="CN11" s="84">
        <v>164</v>
      </c>
      <c r="CO11" s="84">
        <v>149</v>
      </c>
      <c r="CP11" s="84">
        <v>149</v>
      </c>
      <c r="CQ11" s="84">
        <v>134</v>
      </c>
      <c r="CR11" s="84">
        <v>134</v>
      </c>
      <c r="CS11" s="84"/>
      <c r="CT11" s="84"/>
      <c r="CW11" s="84"/>
      <c r="CX11" s="84"/>
      <c r="DA11" s="84"/>
      <c r="DB11" s="84"/>
      <c r="DE11" s="84"/>
      <c r="DF11" s="84"/>
      <c r="DI11" s="84"/>
      <c r="DJ11" s="84"/>
      <c r="DK11" s="84"/>
      <c r="DL11" s="84"/>
      <c r="DM11" s="84"/>
      <c r="DN11" s="84"/>
      <c r="DO11" s="84"/>
      <c r="DP11" s="84"/>
    </row>
    <row r="12" s="70" customFormat="1" ht="15.75" customHeight="1">
      <c r="A12" s="71">
        <v>1000000</v>
      </c>
      <c r="B12" s="72" t="s">
        <v>80</v>
      </c>
      <c r="C12" s="73" t="s">
        <v>81</v>
      </c>
      <c r="D12" s="71">
        <v>1100000</v>
      </c>
      <c r="E12" s="73" t="s">
        <v>82</v>
      </c>
      <c r="F12" s="74" t="s">
        <v>83</v>
      </c>
      <c r="G12" s="74">
        <v>1120000</v>
      </c>
      <c r="H12" s="74" t="s">
        <v>111</v>
      </c>
      <c r="I12" s="75" t="s">
        <v>112</v>
      </c>
      <c r="J12" s="72">
        <v>1120200</v>
      </c>
      <c r="K12" s="76" t="s">
        <v>101</v>
      </c>
      <c r="L12" s="72" t="s">
        <v>117</v>
      </c>
      <c r="M12" s="77" t="s">
        <v>82</v>
      </c>
      <c r="N12" s="77" t="s">
        <v>118</v>
      </c>
      <c r="O12" s="77" t="s">
        <v>115</v>
      </c>
      <c r="P12" s="76" t="s">
        <v>116</v>
      </c>
      <c r="Q12" s="76" t="s">
        <v>90</v>
      </c>
      <c r="R12" s="76" t="s">
        <v>100</v>
      </c>
      <c r="T12" s="76" t="s">
        <v>96</v>
      </c>
      <c r="U12" s="76" t="s">
        <v>91</v>
      </c>
      <c r="X12" s="78"/>
      <c r="AA12" s="79"/>
      <c r="AB12" s="79"/>
      <c r="AC12" s="79"/>
      <c r="AD12" s="79"/>
      <c r="AE12" s="79"/>
      <c r="AF12" s="79"/>
      <c r="AG12" s="79"/>
      <c r="AH12" s="79"/>
      <c r="AI12" s="79"/>
      <c r="AJ12" s="79"/>
      <c r="AK12" s="79"/>
      <c r="AL12" s="79"/>
      <c r="AM12" s="79"/>
      <c r="AN12" s="80"/>
      <c r="AO12" s="81">
        <v>500</v>
      </c>
      <c r="AP12" s="82">
        <v>100000</v>
      </c>
      <c r="AQ12" s="83"/>
      <c r="AR12" s="76" t="s">
        <v>92</v>
      </c>
      <c r="AS12" s="84">
        <f t="shared" si="0"/>
        <v>318.33899999999994</v>
      </c>
      <c r="AT12" s="84">
        <f t="shared" si="1"/>
        <v>226.93860000000001</v>
      </c>
      <c r="AU12" s="85">
        <v>12</v>
      </c>
      <c r="AV12" s="85">
        <v>9</v>
      </c>
      <c r="AW12" s="86">
        <v>37</v>
      </c>
      <c r="AX12" s="84">
        <f t="shared" si="2"/>
        <v>301.22399999999993</v>
      </c>
      <c r="AY12" s="84">
        <f t="shared" si="3"/>
        <v>214.73760000000001</v>
      </c>
      <c r="AZ12" s="85">
        <v>12</v>
      </c>
      <c r="BA12" s="85">
        <v>9</v>
      </c>
      <c r="BB12" s="86">
        <v>29</v>
      </c>
      <c r="BC12" s="84">
        <f t="shared" si="4"/>
        <v>284.10899999999998</v>
      </c>
      <c r="BD12" s="84">
        <f t="shared" si="5"/>
        <v>202.53660000000002</v>
      </c>
      <c r="BE12" s="85">
        <v>12</v>
      </c>
      <c r="BF12" s="85">
        <v>9</v>
      </c>
      <c r="BG12" s="86">
        <v>27</v>
      </c>
      <c r="BH12" s="84">
        <f t="shared" si="6"/>
        <v>266.99400000000003</v>
      </c>
      <c r="BI12" s="84">
        <f t="shared" si="7"/>
        <v>190.3356</v>
      </c>
      <c r="BJ12" s="85">
        <v>12</v>
      </c>
      <c r="BK12" s="87"/>
      <c r="BL12" s="88"/>
      <c r="BM12" s="71"/>
      <c r="BN12" s="84" t="str">
        <f t="shared" si="8"/>
        <v/>
      </c>
      <c r="BO12" s="71"/>
      <c r="BP12" s="84" t="str">
        <f t="shared" si="9"/>
        <v/>
      </c>
      <c r="BQ12" s="71"/>
      <c r="BR12" s="84" t="str">
        <f t="shared" si="10"/>
        <v/>
      </c>
      <c r="BS12" s="71"/>
      <c r="BT12" s="84" t="str">
        <f t="shared" si="11"/>
        <v/>
      </c>
      <c r="BU12" s="84">
        <v>114.09999999999999</v>
      </c>
      <c r="BV12" s="84">
        <v>81.340000000000003</v>
      </c>
      <c r="BY12" s="84">
        <v>114.09999999999999</v>
      </c>
      <c r="BZ12" s="84">
        <v>81.340000000000003</v>
      </c>
      <c r="CC12" s="84">
        <v>114.09999999999999</v>
      </c>
      <c r="CD12" s="84">
        <v>81.340000000000003</v>
      </c>
      <c r="CG12" s="84">
        <v>114.09999999999999</v>
      </c>
      <c r="CH12" s="84">
        <v>81.340000000000003</v>
      </c>
      <c r="CK12" s="84">
        <v>179</v>
      </c>
      <c r="CL12" s="84">
        <v>179</v>
      </c>
      <c r="CM12" s="84">
        <v>164</v>
      </c>
      <c r="CN12" s="84">
        <v>164</v>
      </c>
      <c r="CO12" s="84">
        <v>149</v>
      </c>
      <c r="CP12" s="84">
        <v>149</v>
      </c>
      <c r="CQ12" s="84">
        <v>134</v>
      </c>
      <c r="CR12" s="84">
        <v>134</v>
      </c>
      <c r="CS12" s="84"/>
      <c r="CT12" s="84"/>
      <c r="CW12" s="84"/>
      <c r="CX12" s="84"/>
      <c r="DA12" s="84"/>
      <c r="DB12" s="84"/>
      <c r="DE12" s="84"/>
      <c r="DF12" s="84"/>
      <c r="DI12" s="84"/>
      <c r="DJ12" s="84"/>
      <c r="DK12" s="84"/>
      <c r="DL12" s="84"/>
      <c r="DM12" s="84"/>
      <c r="DN12" s="84"/>
      <c r="DO12" s="84"/>
      <c r="DP12" s="84"/>
    </row>
    <row r="13" s="70" customFormat="1" ht="15.75" customHeight="1">
      <c r="A13" s="71">
        <v>1000000</v>
      </c>
      <c r="B13" s="72" t="s">
        <v>80</v>
      </c>
      <c r="C13" s="73" t="s">
        <v>81</v>
      </c>
      <c r="D13" s="71">
        <v>1100000</v>
      </c>
      <c r="E13" s="73" t="s">
        <v>82</v>
      </c>
      <c r="F13" s="74" t="s">
        <v>83</v>
      </c>
      <c r="G13" s="74">
        <v>1120000</v>
      </c>
      <c r="H13" s="74" t="s">
        <v>111</v>
      </c>
      <c r="I13" s="75" t="s">
        <v>112</v>
      </c>
      <c r="J13" s="72">
        <v>1120300</v>
      </c>
      <c r="K13" s="76" t="s">
        <v>104</v>
      </c>
      <c r="L13" s="72" t="s">
        <v>119</v>
      </c>
      <c r="M13" s="77" t="s">
        <v>82</v>
      </c>
      <c r="N13" s="77" t="s">
        <v>120</v>
      </c>
      <c r="O13" s="77" t="s">
        <v>115</v>
      </c>
      <c r="P13" s="76" t="s">
        <v>116</v>
      </c>
      <c r="Q13" s="76" t="s">
        <v>90</v>
      </c>
      <c r="S13" s="76" t="s">
        <v>107</v>
      </c>
      <c r="T13" s="78"/>
      <c r="U13" s="76" t="s">
        <v>91</v>
      </c>
      <c r="X13" s="78"/>
      <c r="AA13" s="79"/>
      <c r="AB13" s="79"/>
      <c r="AC13" s="79"/>
      <c r="AD13" s="79"/>
      <c r="AE13" s="79"/>
      <c r="AF13" s="79"/>
      <c r="AG13" s="79"/>
      <c r="AH13" s="79"/>
      <c r="AI13" s="79"/>
      <c r="AJ13" s="79"/>
      <c r="AK13" s="79"/>
      <c r="AL13" s="79"/>
      <c r="AM13" s="79"/>
      <c r="AN13" s="80"/>
      <c r="AO13" s="81">
        <v>500</v>
      </c>
      <c r="AP13" s="82">
        <v>20000</v>
      </c>
      <c r="AQ13" s="83"/>
      <c r="AR13" s="76" t="s">
        <v>92</v>
      </c>
      <c r="AS13" s="84">
        <f t="shared" si="0"/>
        <v>318.33899999999994</v>
      </c>
      <c r="AT13" s="84">
        <f t="shared" si="1"/>
        <v>176.71860000000001</v>
      </c>
      <c r="AU13" s="85">
        <v>12</v>
      </c>
      <c r="AV13" s="85">
        <v>9</v>
      </c>
      <c r="AW13" s="86">
        <v>29</v>
      </c>
      <c r="AX13" s="84">
        <f t="shared" si="2"/>
        <v>301.22399999999993</v>
      </c>
      <c r="AY13" s="84">
        <f t="shared" si="3"/>
        <v>167.2176</v>
      </c>
      <c r="AZ13" s="85">
        <v>12</v>
      </c>
      <c r="BA13" s="85">
        <v>9</v>
      </c>
      <c r="BB13" s="86">
        <v>21</v>
      </c>
      <c r="BC13" s="84">
        <f t="shared" si="4"/>
        <v>284.10899999999998</v>
      </c>
      <c r="BD13" s="84">
        <f t="shared" si="5"/>
        <v>157.7166</v>
      </c>
      <c r="BE13" s="85">
        <v>12</v>
      </c>
      <c r="BF13" s="85">
        <v>9</v>
      </c>
      <c r="BG13" s="86">
        <v>19</v>
      </c>
      <c r="BH13" s="84">
        <f t="shared" si="6"/>
        <v>266.99400000000003</v>
      </c>
      <c r="BI13" s="84">
        <f t="shared" si="7"/>
        <v>148.21560000000002</v>
      </c>
      <c r="BJ13" s="85">
        <v>12</v>
      </c>
      <c r="BK13" s="87"/>
      <c r="BL13" s="88"/>
      <c r="BM13" s="71"/>
      <c r="BN13" s="84" t="str">
        <f t="shared" si="8"/>
        <v/>
      </c>
      <c r="BO13" s="71"/>
      <c r="BP13" s="84" t="str">
        <f t="shared" si="9"/>
        <v/>
      </c>
      <c r="BQ13" s="71"/>
      <c r="BR13" s="84" t="str">
        <f t="shared" si="10"/>
        <v/>
      </c>
      <c r="BS13" s="71"/>
      <c r="BT13" s="84" t="str">
        <f t="shared" si="11"/>
        <v/>
      </c>
      <c r="BU13" s="84">
        <v>114.09999999999999</v>
      </c>
      <c r="BV13" s="84">
        <v>63.340000000000003</v>
      </c>
      <c r="BY13" s="84">
        <v>114.09999999999999</v>
      </c>
      <c r="BZ13" s="84">
        <v>63.340000000000003</v>
      </c>
      <c r="CC13" s="84">
        <v>114.09999999999999</v>
      </c>
      <c r="CD13" s="84">
        <v>63.340000000000003</v>
      </c>
      <c r="CG13" s="84">
        <v>114.09999999999999</v>
      </c>
      <c r="CH13" s="84">
        <v>63.340000000000003</v>
      </c>
      <c r="CK13" s="84">
        <v>179</v>
      </c>
      <c r="CL13" s="84">
        <v>179</v>
      </c>
      <c r="CM13" s="84">
        <v>164</v>
      </c>
      <c r="CN13" s="84">
        <v>164</v>
      </c>
      <c r="CO13" s="84">
        <v>149</v>
      </c>
      <c r="CP13" s="84">
        <v>149</v>
      </c>
      <c r="CQ13" s="84">
        <v>134</v>
      </c>
      <c r="CR13" s="84">
        <v>134</v>
      </c>
      <c r="CS13" s="84"/>
      <c r="CT13" s="84"/>
      <c r="CW13" s="84"/>
      <c r="CX13" s="84"/>
      <c r="DA13" s="84"/>
      <c r="DB13" s="84"/>
      <c r="DE13" s="84"/>
      <c r="DF13" s="84"/>
      <c r="DI13" s="84"/>
      <c r="DJ13" s="84"/>
      <c r="DK13" s="84"/>
      <c r="DL13" s="84"/>
      <c r="DM13" s="84"/>
      <c r="DN13" s="84"/>
      <c r="DO13" s="84"/>
      <c r="DP13" s="84"/>
    </row>
    <row r="14" s="70" customFormat="1" ht="15.75" customHeight="1">
      <c r="A14" s="71">
        <v>1000000</v>
      </c>
      <c r="B14" s="72" t="s">
        <v>80</v>
      </c>
      <c r="C14" s="73" t="s">
        <v>81</v>
      </c>
      <c r="D14" s="71">
        <v>1100000</v>
      </c>
      <c r="E14" s="73" t="s">
        <v>82</v>
      </c>
      <c r="F14" s="74" t="s">
        <v>83</v>
      </c>
      <c r="G14" s="74">
        <v>1120000</v>
      </c>
      <c r="H14" s="74" t="s">
        <v>111</v>
      </c>
      <c r="I14" s="75" t="s">
        <v>112</v>
      </c>
      <c r="J14" s="72">
        <v>1120400</v>
      </c>
      <c r="K14" s="76" t="s">
        <v>108</v>
      </c>
      <c r="L14" s="72" t="s">
        <v>121</v>
      </c>
      <c r="M14" s="77" t="s">
        <v>82</v>
      </c>
      <c r="N14" s="77" t="s">
        <v>122</v>
      </c>
      <c r="O14" s="77" t="s">
        <v>115</v>
      </c>
      <c r="P14" s="76" t="s">
        <v>116</v>
      </c>
      <c r="Q14" s="76" t="s">
        <v>90</v>
      </c>
      <c r="S14" s="76" t="s">
        <v>107</v>
      </c>
      <c r="T14" s="76" t="s">
        <v>96</v>
      </c>
      <c r="U14" s="76" t="s">
        <v>91</v>
      </c>
      <c r="X14" s="78"/>
      <c r="AA14" s="79"/>
      <c r="AB14" s="79"/>
      <c r="AC14" s="79"/>
      <c r="AD14" s="79"/>
      <c r="AE14" s="79"/>
      <c r="AF14" s="79"/>
      <c r="AG14" s="79"/>
      <c r="AH14" s="79"/>
      <c r="AI14" s="79"/>
      <c r="AJ14" s="79"/>
      <c r="AK14" s="79"/>
      <c r="AL14" s="79"/>
      <c r="AM14" s="79"/>
      <c r="AN14" s="80"/>
      <c r="AO14" s="81">
        <v>500</v>
      </c>
      <c r="AP14" s="82">
        <v>20000</v>
      </c>
      <c r="AQ14" s="83"/>
      <c r="AR14" s="76" t="s">
        <v>92</v>
      </c>
      <c r="AS14" s="84">
        <f t="shared" si="0"/>
        <v>318.33899999999994</v>
      </c>
      <c r="AT14" s="84">
        <f t="shared" si="1"/>
        <v>193.45859999999999</v>
      </c>
      <c r="AU14" s="85">
        <v>12</v>
      </c>
      <c r="AV14" s="85">
        <v>9</v>
      </c>
      <c r="AW14" s="86">
        <v>33</v>
      </c>
      <c r="AX14" s="84">
        <f t="shared" si="2"/>
        <v>301.22399999999993</v>
      </c>
      <c r="AY14" s="84">
        <f t="shared" si="3"/>
        <v>183.05760000000001</v>
      </c>
      <c r="AZ14" s="85">
        <v>12</v>
      </c>
      <c r="BA14" s="85">
        <v>9</v>
      </c>
      <c r="BB14" s="86">
        <v>25</v>
      </c>
      <c r="BC14" s="84">
        <f t="shared" si="4"/>
        <v>284.10899999999998</v>
      </c>
      <c r="BD14" s="84">
        <f t="shared" si="5"/>
        <v>172.6566</v>
      </c>
      <c r="BE14" s="85">
        <v>12</v>
      </c>
      <c r="BF14" s="85">
        <v>9</v>
      </c>
      <c r="BG14" s="86">
        <v>23</v>
      </c>
      <c r="BH14" s="84">
        <f t="shared" si="6"/>
        <v>266.99400000000003</v>
      </c>
      <c r="BI14" s="84">
        <f t="shared" si="7"/>
        <v>162.25560000000002</v>
      </c>
      <c r="BJ14" s="85">
        <v>12</v>
      </c>
      <c r="BK14" s="87"/>
      <c r="BL14" s="88"/>
      <c r="BM14" s="71">
        <v>5000</v>
      </c>
      <c r="BN14" s="84">
        <f t="shared" si="8"/>
        <v>1285.6320000000001</v>
      </c>
      <c r="BO14" s="71">
        <v>10000</v>
      </c>
      <c r="BP14" s="84">
        <f t="shared" si="9"/>
        <v>2131.8000000000002</v>
      </c>
      <c r="BQ14" s="71">
        <v>12500</v>
      </c>
      <c r="BR14" s="84">
        <f t="shared" si="10"/>
        <v>2442.3164999999999</v>
      </c>
      <c r="BS14" s="71"/>
      <c r="BT14" s="84" t="str">
        <f t="shared" si="11"/>
        <v/>
      </c>
      <c r="BU14" s="84">
        <v>114.09999999999999</v>
      </c>
      <c r="BV14" s="84">
        <v>69.340000000000003</v>
      </c>
      <c r="BY14" s="84">
        <v>114.09999999999999</v>
      </c>
      <c r="BZ14" s="84">
        <v>69.340000000000003</v>
      </c>
      <c r="CC14" s="84">
        <v>114.09999999999999</v>
      </c>
      <c r="CD14" s="84">
        <v>69.340000000000003</v>
      </c>
      <c r="CG14" s="84">
        <v>114.09999999999999</v>
      </c>
      <c r="CH14" s="84">
        <v>69.340000000000003</v>
      </c>
      <c r="CK14" s="84">
        <v>179</v>
      </c>
      <c r="CL14" s="84">
        <v>179</v>
      </c>
      <c r="CM14" s="84">
        <v>164</v>
      </c>
      <c r="CN14" s="84">
        <v>164</v>
      </c>
      <c r="CO14" s="84">
        <v>149</v>
      </c>
      <c r="CP14" s="84">
        <v>149</v>
      </c>
      <c r="CQ14" s="84">
        <v>134</v>
      </c>
      <c r="CR14" s="84">
        <v>134</v>
      </c>
      <c r="CS14" s="84"/>
      <c r="CT14" s="84"/>
      <c r="CW14" s="84"/>
      <c r="CX14" s="84"/>
      <c r="DA14" s="84"/>
      <c r="DB14" s="84"/>
      <c r="DE14" s="84"/>
      <c r="DF14" s="84"/>
      <c r="DI14" s="84"/>
      <c r="DJ14" s="84"/>
      <c r="DK14" s="84"/>
      <c r="DL14" s="84"/>
      <c r="DM14" s="84"/>
      <c r="DN14" s="84"/>
      <c r="DO14" s="84"/>
      <c r="DP14" s="84"/>
    </row>
    <row r="15" s="65" customFormat="1" ht="66">
      <c r="A15" s="52">
        <v>1000000</v>
      </c>
      <c r="B15" s="53" t="s">
        <v>80</v>
      </c>
      <c r="C15" s="54" t="s">
        <v>81</v>
      </c>
      <c r="D15" s="52">
        <v>1100000</v>
      </c>
      <c r="E15" s="54" t="s">
        <v>82</v>
      </c>
      <c r="F15" s="55" t="s">
        <v>83</v>
      </c>
      <c r="G15" s="55">
        <v>1130000</v>
      </c>
      <c r="H15" s="55" t="s">
        <v>123</v>
      </c>
      <c r="I15" s="56" t="s">
        <v>124</v>
      </c>
      <c r="J15" s="53">
        <v>1130100</v>
      </c>
      <c r="K15" s="51" t="s">
        <v>125</v>
      </c>
      <c r="L15" s="53" t="s">
        <v>126</v>
      </c>
      <c r="M15" s="57" t="s">
        <v>82</v>
      </c>
      <c r="N15" s="57" t="s">
        <v>127</v>
      </c>
      <c r="O15" s="57" t="s">
        <v>128</v>
      </c>
      <c r="P15" s="51" t="s">
        <v>129</v>
      </c>
      <c r="Q15" s="51"/>
      <c r="R15" s="51" t="s">
        <v>100</v>
      </c>
      <c r="T15" s="66"/>
      <c r="U15" s="51" t="s">
        <v>91</v>
      </c>
      <c r="X15" s="66"/>
      <c r="AA15" s="67"/>
      <c r="AB15" s="67"/>
      <c r="AC15" s="67"/>
      <c r="AD15" s="67"/>
      <c r="AE15" s="67"/>
      <c r="AF15" s="67"/>
      <c r="AG15" s="67"/>
      <c r="AH15" s="67"/>
      <c r="AI15" s="67"/>
      <c r="AJ15" s="67"/>
      <c r="AK15" s="67"/>
      <c r="AL15" s="67"/>
      <c r="AM15" s="67"/>
      <c r="AN15" s="68"/>
      <c r="AO15" s="58">
        <v>500</v>
      </c>
      <c r="AP15" s="60">
        <v>100000</v>
      </c>
      <c r="AQ15" s="69"/>
      <c r="AR15" s="51" t="s">
        <v>92</v>
      </c>
      <c r="AS15" s="62">
        <f t="shared" si="0"/>
        <v>262.53899999999999</v>
      </c>
      <c r="AT15" s="62">
        <f t="shared" si="1"/>
        <v>113.05080000000001</v>
      </c>
      <c r="AU15" s="63">
        <v>7</v>
      </c>
      <c r="AV15" s="63">
        <v>4</v>
      </c>
      <c r="AW15" s="64">
        <v>33</v>
      </c>
      <c r="AX15" s="62">
        <f t="shared" si="2"/>
        <v>248.42399999999998</v>
      </c>
      <c r="AY15" s="62">
        <f t="shared" si="3"/>
        <v>106.97280000000001</v>
      </c>
      <c r="AZ15" s="63">
        <v>7</v>
      </c>
      <c r="BA15" s="63">
        <v>4</v>
      </c>
      <c r="BB15" s="64">
        <v>25</v>
      </c>
      <c r="BC15" s="62">
        <f t="shared" si="4"/>
        <v>234.309</v>
      </c>
      <c r="BD15" s="62">
        <f t="shared" si="5"/>
        <v>100.8948</v>
      </c>
      <c r="BE15" s="63">
        <v>7</v>
      </c>
      <c r="BF15" s="63">
        <v>5</v>
      </c>
      <c r="BG15" s="64">
        <v>23</v>
      </c>
      <c r="BH15" s="62">
        <f t="shared" si="6"/>
        <v>220.19399999999999</v>
      </c>
      <c r="BI15" s="62">
        <f t="shared" si="7"/>
        <v>94.816800000000001</v>
      </c>
      <c r="BJ15" s="63">
        <v>9</v>
      </c>
      <c r="BK15" s="89"/>
      <c r="BL15" s="90"/>
      <c r="BM15" s="52"/>
      <c r="BN15" s="62" t="str">
        <f t="shared" si="8"/>
        <v/>
      </c>
      <c r="BO15" s="52"/>
      <c r="BP15" s="62" t="str">
        <f t="shared" si="9"/>
        <v/>
      </c>
      <c r="BQ15" s="52"/>
      <c r="BR15" s="62" t="str">
        <f t="shared" si="10"/>
        <v/>
      </c>
      <c r="BS15" s="52"/>
      <c r="BT15" s="62" t="str">
        <f t="shared" si="11"/>
        <v/>
      </c>
      <c r="BU15" s="62">
        <v>94.099999999999994</v>
      </c>
      <c r="BV15" s="62">
        <v>40.520000000000003</v>
      </c>
      <c r="BY15" s="62">
        <v>94.099999999999994</v>
      </c>
      <c r="BZ15" s="62">
        <v>40.520000000000003</v>
      </c>
      <c r="CC15" s="62">
        <v>94.099999999999994</v>
      </c>
      <c r="CD15" s="62">
        <v>40.520000000000003</v>
      </c>
      <c r="CG15" s="62">
        <v>94.099999999999994</v>
      </c>
      <c r="CH15" s="62">
        <v>40.520000000000003</v>
      </c>
      <c r="CK15" s="62">
        <v>179</v>
      </c>
      <c r="CL15" s="62">
        <v>179</v>
      </c>
      <c r="CM15" s="62">
        <v>164</v>
      </c>
      <c r="CN15" s="62">
        <v>164</v>
      </c>
      <c r="CO15" s="62">
        <v>149</v>
      </c>
      <c r="CP15" s="62">
        <v>149</v>
      </c>
      <c r="CQ15" s="62">
        <v>134</v>
      </c>
      <c r="CR15" s="62">
        <v>134</v>
      </c>
      <c r="CS15" s="62"/>
      <c r="CT15" s="62"/>
      <c r="CW15" s="62"/>
      <c r="CX15" s="62"/>
      <c r="DA15" s="62"/>
      <c r="DB15" s="62"/>
      <c r="DE15" s="62"/>
      <c r="DF15" s="62"/>
      <c r="DI15" s="62"/>
      <c r="DJ15" s="62"/>
      <c r="DK15" s="62"/>
      <c r="DL15" s="62"/>
      <c r="DM15" s="62"/>
      <c r="DN15" s="62"/>
      <c r="DO15" s="62"/>
      <c r="DP15" s="62"/>
    </row>
    <row r="16" s="65" customFormat="1" ht="15.75" customHeight="1">
      <c r="A16" s="52">
        <v>1000000</v>
      </c>
      <c r="B16" s="53" t="s">
        <v>80</v>
      </c>
      <c r="C16" s="54" t="s">
        <v>81</v>
      </c>
      <c r="D16" s="52">
        <v>1100000</v>
      </c>
      <c r="E16" s="54" t="s">
        <v>82</v>
      </c>
      <c r="F16" s="55" t="s">
        <v>83</v>
      </c>
      <c r="G16" s="55">
        <v>1130000</v>
      </c>
      <c r="H16" s="55" t="s">
        <v>123</v>
      </c>
      <c r="I16" s="56" t="s">
        <v>124</v>
      </c>
      <c r="J16" s="53">
        <v>1130200</v>
      </c>
      <c r="K16" s="51" t="s">
        <v>130</v>
      </c>
      <c r="L16" s="53" t="s">
        <v>131</v>
      </c>
      <c r="M16" s="57" t="s">
        <v>82</v>
      </c>
      <c r="N16" s="57" t="s">
        <v>132</v>
      </c>
      <c r="O16" s="57" t="s">
        <v>128</v>
      </c>
      <c r="P16" s="51" t="s">
        <v>129</v>
      </c>
      <c r="Q16" s="51"/>
      <c r="R16" s="51" t="s">
        <v>100</v>
      </c>
      <c r="T16" s="51" t="s">
        <v>96</v>
      </c>
      <c r="U16" s="51" t="s">
        <v>91</v>
      </c>
      <c r="X16" s="66"/>
      <c r="AA16" s="67"/>
      <c r="AB16" s="67"/>
      <c r="AC16" s="67"/>
      <c r="AD16" s="67"/>
      <c r="AE16" s="67"/>
      <c r="AF16" s="67"/>
      <c r="AG16" s="67"/>
      <c r="AH16" s="67"/>
      <c r="AI16" s="67"/>
      <c r="AJ16" s="67"/>
      <c r="AK16" s="67"/>
      <c r="AL16" s="67"/>
      <c r="AM16" s="67"/>
      <c r="AN16" s="68"/>
      <c r="AO16" s="58">
        <v>500</v>
      </c>
      <c r="AP16" s="60">
        <v>100000</v>
      </c>
      <c r="AQ16" s="69"/>
      <c r="AR16" s="51" t="s">
        <v>92</v>
      </c>
      <c r="AS16" s="62">
        <f t="shared" si="0"/>
        <v>262.53899999999999</v>
      </c>
      <c r="AT16" s="62">
        <f t="shared" si="1"/>
        <v>121.42080000000001</v>
      </c>
      <c r="AU16" s="63">
        <v>7</v>
      </c>
      <c r="AV16" s="63">
        <v>4</v>
      </c>
      <c r="AW16" s="64">
        <v>37</v>
      </c>
      <c r="AX16" s="62">
        <f t="shared" si="2"/>
        <v>248.42399999999998</v>
      </c>
      <c r="AY16" s="62">
        <f t="shared" si="3"/>
        <v>114.89280000000002</v>
      </c>
      <c r="AZ16" s="63">
        <v>7</v>
      </c>
      <c r="BA16" s="63">
        <v>4</v>
      </c>
      <c r="BB16" s="64">
        <v>29</v>
      </c>
      <c r="BC16" s="62">
        <f t="shared" si="4"/>
        <v>234.309</v>
      </c>
      <c r="BD16" s="62">
        <f t="shared" si="5"/>
        <v>108.3648</v>
      </c>
      <c r="BE16" s="63">
        <v>7</v>
      </c>
      <c r="BF16" s="63">
        <v>5</v>
      </c>
      <c r="BG16" s="64">
        <v>27</v>
      </c>
      <c r="BH16" s="62">
        <f t="shared" si="6"/>
        <v>220.19399999999999</v>
      </c>
      <c r="BI16" s="62">
        <f t="shared" si="7"/>
        <v>101.83680000000001</v>
      </c>
      <c r="BJ16" s="63">
        <v>9</v>
      </c>
      <c r="BK16" s="89"/>
      <c r="BL16" s="90"/>
      <c r="BM16" s="52"/>
      <c r="BN16" s="62" t="str">
        <f t="shared" si="8"/>
        <v/>
      </c>
      <c r="BO16" s="52"/>
      <c r="BP16" s="62" t="str">
        <f t="shared" si="9"/>
        <v/>
      </c>
      <c r="BQ16" s="52"/>
      <c r="BR16" s="62" t="str">
        <f t="shared" si="10"/>
        <v/>
      </c>
      <c r="BS16" s="52"/>
      <c r="BT16" s="62" t="str">
        <f t="shared" si="11"/>
        <v/>
      </c>
      <c r="BU16" s="62">
        <v>94.099999999999994</v>
      </c>
      <c r="BV16" s="62">
        <v>43.520000000000003</v>
      </c>
      <c r="BY16" s="62">
        <v>94.099999999999994</v>
      </c>
      <c r="BZ16" s="62">
        <v>43.520000000000003</v>
      </c>
      <c r="CC16" s="62">
        <v>94.099999999999994</v>
      </c>
      <c r="CD16" s="62">
        <v>43.520000000000003</v>
      </c>
      <c r="CG16" s="62">
        <v>94.099999999999994</v>
      </c>
      <c r="CH16" s="62">
        <v>43.520000000000003</v>
      </c>
      <c r="CK16" s="62">
        <v>179</v>
      </c>
      <c r="CL16" s="62">
        <v>179</v>
      </c>
      <c r="CM16" s="62">
        <v>164</v>
      </c>
      <c r="CN16" s="62">
        <v>164</v>
      </c>
      <c r="CO16" s="62">
        <v>149</v>
      </c>
      <c r="CP16" s="62">
        <v>149</v>
      </c>
      <c r="CQ16" s="62">
        <v>134</v>
      </c>
      <c r="CR16" s="62">
        <v>134</v>
      </c>
      <c r="CS16" s="62"/>
      <c r="CT16" s="62"/>
      <c r="CW16" s="62"/>
      <c r="CX16" s="62"/>
      <c r="DA16" s="62"/>
      <c r="DB16" s="62"/>
      <c r="DE16" s="62"/>
      <c r="DF16" s="62"/>
      <c r="DI16" s="62"/>
      <c r="DJ16" s="62"/>
      <c r="DK16" s="62"/>
      <c r="DL16" s="62"/>
      <c r="DM16" s="62"/>
      <c r="DN16" s="62"/>
      <c r="DO16" s="62"/>
      <c r="DP16" s="62"/>
    </row>
    <row r="17" s="65" customFormat="1" ht="15.75" customHeight="1">
      <c r="A17" s="52">
        <v>1000000</v>
      </c>
      <c r="B17" s="53" t="s">
        <v>80</v>
      </c>
      <c r="C17" s="54" t="s">
        <v>81</v>
      </c>
      <c r="D17" s="52">
        <v>1100000</v>
      </c>
      <c r="E17" s="54" t="s">
        <v>82</v>
      </c>
      <c r="F17" s="55" t="s">
        <v>83</v>
      </c>
      <c r="G17" s="55">
        <v>1130000</v>
      </c>
      <c r="H17" s="55" t="s">
        <v>123</v>
      </c>
      <c r="I17" s="56" t="s">
        <v>124</v>
      </c>
      <c r="J17" s="53">
        <v>1130300</v>
      </c>
      <c r="K17" s="51" t="s">
        <v>38</v>
      </c>
      <c r="L17" s="53" t="s">
        <v>133</v>
      </c>
      <c r="M17" s="57" t="s">
        <v>82</v>
      </c>
      <c r="N17" s="57" t="s">
        <v>134</v>
      </c>
      <c r="O17" s="57" t="s">
        <v>128</v>
      </c>
      <c r="P17" s="51" t="s">
        <v>129</v>
      </c>
      <c r="Q17" s="51"/>
      <c r="R17" s="51"/>
      <c r="S17" s="51" t="s">
        <v>107</v>
      </c>
      <c r="T17" s="66"/>
      <c r="U17" s="51" t="s">
        <v>91</v>
      </c>
      <c r="X17" s="66"/>
      <c r="AA17" s="67"/>
      <c r="AB17" s="67"/>
      <c r="AC17" s="67"/>
      <c r="AD17" s="67"/>
      <c r="AE17" s="67"/>
      <c r="AF17" s="67"/>
      <c r="AG17" s="67"/>
      <c r="AH17" s="67"/>
      <c r="AI17" s="67"/>
      <c r="AJ17" s="67"/>
      <c r="AK17" s="67"/>
      <c r="AL17" s="67"/>
      <c r="AM17" s="67"/>
      <c r="AN17" s="68"/>
      <c r="AO17" s="58">
        <v>500</v>
      </c>
      <c r="AP17" s="60">
        <v>20000</v>
      </c>
      <c r="AQ17" s="69"/>
      <c r="AR17" s="51" t="s">
        <v>92</v>
      </c>
      <c r="AS17" s="62">
        <f t="shared" si="0"/>
        <v>290.43899999999996</v>
      </c>
      <c r="AT17" s="62">
        <f t="shared" si="1"/>
        <v>101.08169999999998</v>
      </c>
      <c r="AU17" s="63">
        <v>10</v>
      </c>
      <c r="AV17" s="63">
        <v>8</v>
      </c>
      <c r="AW17" s="64">
        <v>29</v>
      </c>
      <c r="AX17" s="62">
        <f t="shared" si="2"/>
        <v>274.82399999999996</v>
      </c>
      <c r="AY17" s="62">
        <f t="shared" si="3"/>
        <v>95.647199999999998</v>
      </c>
      <c r="AZ17" s="63">
        <v>8</v>
      </c>
      <c r="BA17" s="63">
        <v>6</v>
      </c>
      <c r="BB17" s="64">
        <v>21</v>
      </c>
      <c r="BC17" s="62">
        <f t="shared" si="4"/>
        <v>259.209</v>
      </c>
      <c r="BD17" s="62">
        <f t="shared" si="5"/>
        <v>90.212699999999984</v>
      </c>
      <c r="BE17" s="63">
        <v>11</v>
      </c>
      <c r="BF17" s="63">
        <v>9</v>
      </c>
      <c r="BG17" s="64">
        <v>19</v>
      </c>
      <c r="BH17" s="62">
        <f t="shared" si="6"/>
        <v>243.59399999999999</v>
      </c>
      <c r="BI17" s="62">
        <f t="shared" si="7"/>
        <v>84.778199999999998</v>
      </c>
      <c r="BJ17" s="63">
        <v>12</v>
      </c>
      <c r="BK17" s="89"/>
      <c r="BL17" s="90"/>
      <c r="BM17" s="52"/>
      <c r="BN17" s="62" t="str">
        <f t="shared" si="8"/>
        <v/>
      </c>
      <c r="BO17" s="52"/>
      <c r="BP17" s="62" t="str">
        <f t="shared" si="9"/>
        <v/>
      </c>
      <c r="BQ17" s="52"/>
      <c r="BR17" s="62" t="str">
        <f t="shared" si="10"/>
        <v/>
      </c>
      <c r="BS17" s="52"/>
      <c r="BT17" s="62" t="str">
        <f t="shared" si="11"/>
        <v/>
      </c>
      <c r="BU17" s="62">
        <v>104.09999999999999</v>
      </c>
      <c r="BV17" s="62">
        <v>36.229999999999997</v>
      </c>
      <c r="BY17" s="62">
        <v>104.09999999999999</v>
      </c>
      <c r="BZ17" s="62">
        <v>36.229999999999997</v>
      </c>
      <c r="CC17" s="62">
        <v>104.09999999999999</v>
      </c>
      <c r="CD17" s="62">
        <v>36.229999999999997</v>
      </c>
      <c r="CG17" s="62">
        <v>104.09999999999999</v>
      </c>
      <c r="CH17" s="62">
        <v>36.229999999999997</v>
      </c>
      <c r="CK17" s="62">
        <v>179</v>
      </c>
      <c r="CL17" s="62">
        <v>179</v>
      </c>
      <c r="CM17" s="62">
        <v>164</v>
      </c>
      <c r="CN17" s="62">
        <v>164</v>
      </c>
      <c r="CO17" s="62">
        <v>149</v>
      </c>
      <c r="CP17" s="62">
        <v>149</v>
      </c>
      <c r="CQ17" s="62">
        <v>134</v>
      </c>
      <c r="CR17" s="62">
        <v>134</v>
      </c>
      <c r="CS17" s="62"/>
      <c r="CT17" s="62"/>
      <c r="CW17" s="62"/>
      <c r="CX17" s="62"/>
      <c r="DA17" s="62"/>
      <c r="DB17" s="62"/>
      <c r="DE17" s="62"/>
      <c r="DF17" s="62"/>
      <c r="DI17" s="62"/>
      <c r="DJ17" s="62"/>
      <c r="DK17" s="62"/>
      <c r="DL17" s="62"/>
      <c r="DM17" s="62"/>
      <c r="DN17" s="62"/>
      <c r="DO17" s="62"/>
      <c r="DP17" s="62"/>
    </row>
    <row r="18" s="65" customFormat="1" ht="15.75" customHeight="1">
      <c r="A18" s="52">
        <v>1000000</v>
      </c>
      <c r="B18" s="53" t="s">
        <v>80</v>
      </c>
      <c r="C18" s="54" t="s">
        <v>81</v>
      </c>
      <c r="D18" s="52">
        <v>1100000</v>
      </c>
      <c r="E18" s="54" t="s">
        <v>82</v>
      </c>
      <c r="F18" s="55" t="s">
        <v>83</v>
      </c>
      <c r="G18" s="55">
        <v>1130000</v>
      </c>
      <c r="H18" s="55" t="s">
        <v>123</v>
      </c>
      <c r="I18" s="56" t="s">
        <v>124</v>
      </c>
      <c r="J18" s="53">
        <v>1130400</v>
      </c>
      <c r="K18" s="51" t="s">
        <v>135</v>
      </c>
      <c r="L18" s="53" t="s">
        <v>136</v>
      </c>
      <c r="M18" s="57" t="s">
        <v>82</v>
      </c>
      <c r="N18" s="57" t="s">
        <v>137</v>
      </c>
      <c r="O18" s="57" t="s">
        <v>128</v>
      </c>
      <c r="P18" s="51" t="s">
        <v>129</v>
      </c>
      <c r="Q18" s="51"/>
      <c r="R18" s="51"/>
      <c r="S18" s="51" t="s">
        <v>107</v>
      </c>
      <c r="T18" s="51" t="s">
        <v>96</v>
      </c>
      <c r="U18" s="51" t="s">
        <v>91</v>
      </c>
      <c r="X18" s="66"/>
      <c r="AA18" s="67"/>
      <c r="AB18" s="67"/>
      <c r="AC18" s="67"/>
      <c r="AD18" s="67"/>
      <c r="AE18" s="67"/>
      <c r="AF18" s="67"/>
      <c r="AG18" s="67"/>
      <c r="AH18" s="67"/>
      <c r="AI18" s="67"/>
      <c r="AJ18" s="67"/>
      <c r="AK18" s="67"/>
      <c r="AL18" s="67"/>
      <c r="AM18" s="67"/>
      <c r="AN18" s="68"/>
      <c r="AO18" s="58">
        <v>500</v>
      </c>
      <c r="AP18" s="60">
        <v>20000</v>
      </c>
      <c r="AQ18" s="69"/>
      <c r="AR18" s="51" t="s">
        <v>92</v>
      </c>
      <c r="AS18" s="62">
        <f t="shared" si="0"/>
        <v>290.43899999999996</v>
      </c>
      <c r="AT18" s="62">
        <f t="shared" si="1"/>
        <v>111.12569999999999</v>
      </c>
      <c r="AU18" s="63">
        <v>10</v>
      </c>
      <c r="AV18" s="63">
        <v>8</v>
      </c>
      <c r="AW18" s="64">
        <v>33</v>
      </c>
      <c r="AX18" s="62">
        <f t="shared" si="2"/>
        <v>274.82399999999996</v>
      </c>
      <c r="AY18" s="62">
        <f t="shared" si="3"/>
        <v>105.1512</v>
      </c>
      <c r="AZ18" s="63">
        <v>8</v>
      </c>
      <c r="BA18" s="63">
        <v>6</v>
      </c>
      <c r="BB18" s="64">
        <v>25</v>
      </c>
      <c r="BC18" s="62">
        <f t="shared" si="4"/>
        <v>259.209</v>
      </c>
      <c r="BD18" s="62">
        <f t="shared" si="5"/>
        <v>99.176699999999997</v>
      </c>
      <c r="BE18" s="63">
        <v>11</v>
      </c>
      <c r="BF18" s="63">
        <v>9</v>
      </c>
      <c r="BG18" s="64">
        <v>23</v>
      </c>
      <c r="BH18" s="62">
        <f t="shared" si="6"/>
        <v>243.59399999999999</v>
      </c>
      <c r="BI18" s="62">
        <f t="shared" si="7"/>
        <v>93.202199999999991</v>
      </c>
      <c r="BJ18" s="63">
        <v>12</v>
      </c>
      <c r="BK18" s="89"/>
      <c r="BL18" s="90"/>
      <c r="BM18" s="52"/>
      <c r="BN18" s="62" t="str">
        <f t="shared" si="8"/>
        <v/>
      </c>
      <c r="BO18" s="52"/>
      <c r="BP18" s="62" t="str">
        <f t="shared" si="9"/>
        <v/>
      </c>
      <c r="BQ18" s="52"/>
      <c r="BR18" s="62" t="str">
        <f t="shared" si="10"/>
        <v/>
      </c>
      <c r="BS18" s="52"/>
      <c r="BT18" s="62" t="str">
        <f t="shared" si="11"/>
        <v/>
      </c>
      <c r="BU18" s="62">
        <v>104.09999999999999</v>
      </c>
      <c r="BV18" s="62">
        <v>39.829999999999998</v>
      </c>
      <c r="BY18" s="62">
        <v>104.09999999999999</v>
      </c>
      <c r="BZ18" s="62">
        <v>39.829999999999998</v>
      </c>
      <c r="CC18" s="62">
        <v>104.09999999999999</v>
      </c>
      <c r="CD18" s="62">
        <v>39.829999999999998</v>
      </c>
      <c r="CG18" s="62">
        <v>104.09999999999999</v>
      </c>
      <c r="CH18" s="62">
        <v>39.829999999999998</v>
      </c>
      <c r="CK18" s="62">
        <v>179</v>
      </c>
      <c r="CL18" s="62">
        <v>179</v>
      </c>
      <c r="CM18" s="62">
        <v>164</v>
      </c>
      <c r="CN18" s="62">
        <v>164</v>
      </c>
      <c r="CO18" s="62">
        <v>149</v>
      </c>
      <c r="CP18" s="62">
        <v>149</v>
      </c>
      <c r="CQ18" s="62">
        <v>134</v>
      </c>
      <c r="CR18" s="62">
        <v>134</v>
      </c>
      <c r="CS18" s="62"/>
      <c r="CT18" s="62"/>
      <c r="CW18" s="62"/>
      <c r="CX18" s="62"/>
      <c r="DA18" s="62"/>
      <c r="DB18" s="62"/>
      <c r="DE18" s="62"/>
      <c r="DF18" s="62"/>
      <c r="DI18" s="62"/>
      <c r="DJ18" s="62"/>
      <c r="DK18" s="62"/>
      <c r="DL18" s="62"/>
      <c r="DM18" s="62"/>
      <c r="DN18" s="62"/>
      <c r="DO18" s="62"/>
      <c r="DP18" s="62"/>
    </row>
    <row r="19" s="81" customFormat="1" ht="66">
      <c r="A19" s="82">
        <v>1000000</v>
      </c>
      <c r="B19" s="91" t="s">
        <v>80</v>
      </c>
      <c r="C19" s="73" t="s">
        <v>81</v>
      </c>
      <c r="D19" s="82">
        <v>1140000</v>
      </c>
      <c r="E19" s="92" t="s">
        <v>138</v>
      </c>
      <c r="F19" s="55" t="s">
        <v>139</v>
      </c>
      <c r="G19" s="93">
        <v>1141000</v>
      </c>
      <c r="H19" s="93" t="s">
        <v>84</v>
      </c>
      <c r="I19" s="75" t="s">
        <v>140</v>
      </c>
      <c r="J19" s="91">
        <v>1141100</v>
      </c>
      <c r="K19" s="81" t="s">
        <v>97</v>
      </c>
      <c r="L19" s="91" t="s">
        <v>141</v>
      </c>
      <c r="M19" s="94" t="s">
        <v>138</v>
      </c>
      <c r="N19" s="94" t="s">
        <v>142</v>
      </c>
      <c r="O19" s="94"/>
      <c r="P19" s="81" t="s">
        <v>143</v>
      </c>
      <c r="Q19" s="81" t="s">
        <v>144</v>
      </c>
      <c r="R19" s="81" t="s">
        <v>145</v>
      </c>
      <c r="T19" s="94"/>
      <c r="U19" s="76" t="s">
        <v>146</v>
      </c>
      <c r="X19" s="94"/>
      <c r="AN19" s="95"/>
      <c r="AO19" s="81">
        <v>500</v>
      </c>
      <c r="AP19" s="82">
        <v>100000</v>
      </c>
      <c r="AQ19" s="96"/>
      <c r="AR19" s="81" t="s">
        <v>147</v>
      </c>
      <c r="AS19" s="97">
        <f t="shared" si="0"/>
        <v>281.25</v>
      </c>
      <c r="AT19" s="97">
        <f t="shared" si="1"/>
        <v>144.74250000000001</v>
      </c>
      <c r="AU19" s="85">
        <v>7</v>
      </c>
      <c r="AV19" s="85">
        <v>4</v>
      </c>
      <c r="AW19" s="86">
        <v>33</v>
      </c>
      <c r="AX19" s="97">
        <f t="shared" si="2"/>
        <v>281.25</v>
      </c>
      <c r="AY19" s="97">
        <f t="shared" si="3"/>
        <v>144.74250000000001</v>
      </c>
      <c r="AZ19" s="85">
        <v>7</v>
      </c>
      <c r="BA19" s="85">
        <v>4</v>
      </c>
      <c r="BB19" s="86">
        <v>25</v>
      </c>
      <c r="BC19" s="97">
        <f t="shared" si="4"/>
        <v>281.25</v>
      </c>
      <c r="BD19" s="97">
        <f t="shared" si="5"/>
        <v>144.74250000000001</v>
      </c>
      <c r="BE19" s="85">
        <v>8</v>
      </c>
      <c r="BF19" s="85">
        <v>5</v>
      </c>
      <c r="BG19" s="86">
        <v>23</v>
      </c>
      <c r="BH19" s="97">
        <f t="shared" si="6"/>
        <v>281.25</v>
      </c>
      <c r="BI19" s="97">
        <f t="shared" si="7"/>
        <v>144.74250000000001</v>
      </c>
      <c r="BJ19" s="98">
        <v>12</v>
      </c>
      <c r="BK19" s="98"/>
      <c r="BL19" s="86"/>
      <c r="BM19" s="82">
        <v>4000</v>
      </c>
      <c r="BN19" s="97">
        <f t="shared" si="8"/>
        <v>860.22000000000003</v>
      </c>
      <c r="BO19" s="82">
        <v>10000</v>
      </c>
      <c r="BP19" s="97">
        <f t="shared" si="9"/>
        <v>1728.675</v>
      </c>
      <c r="BQ19" s="82">
        <v>11000</v>
      </c>
      <c r="BR19" s="97">
        <f t="shared" si="10"/>
        <v>1873.4175</v>
      </c>
      <c r="BS19" s="82">
        <v>51000</v>
      </c>
      <c r="BT19" s="97">
        <f t="shared" si="11"/>
        <v>7663.1175000000003</v>
      </c>
      <c r="BU19" s="97">
        <v>125</v>
      </c>
      <c r="BV19" s="97">
        <v>64.329999999999998</v>
      </c>
      <c r="BY19" s="97">
        <v>125</v>
      </c>
      <c r="BZ19" s="97">
        <v>64.329999999999998</v>
      </c>
      <c r="CC19" s="97">
        <v>125</v>
      </c>
      <c r="CD19" s="97">
        <v>64.329999999999998</v>
      </c>
      <c r="CG19" s="97">
        <v>125</v>
      </c>
      <c r="CH19" s="97">
        <v>64.329999999999998</v>
      </c>
      <c r="CK19" s="97">
        <v>125</v>
      </c>
      <c r="CL19" s="84">
        <v>125</v>
      </c>
      <c r="CM19" s="84">
        <v>125</v>
      </c>
      <c r="CN19" s="84">
        <v>125</v>
      </c>
      <c r="CO19" s="84">
        <v>125</v>
      </c>
      <c r="CP19" s="84">
        <v>125</v>
      </c>
      <c r="CQ19" s="84">
        <v>125</v>
      </c>
      <c r="CR19" s="84">
        <v>125</v>
      </c>
      <c r="CS19" s="97"/>
      <c r="CT19" s="97"/>
      <c r="CW19" s="97"/>
      <c r="CX19" s="97"/>
      <c r="DA19" s="97"/>
      <c r="DB19" s="97"/>
      <c r="DE19" s="97"/>
      <c r="DF19" s="97"/>
    </row>
    <row r="20" s="76" customFormat="1" ht="15.75" customHeight="1">
      <c r="A20" s="71">
        <v>1000000</v>
      </c>
      <c r="B20" s="72" t="s">
        <v>80</v>
      </c>
      <c r="C20" s="73" t="s">
        <v>81</v>
      </c>
      <c r="D20" s="71">
        <v>1140000</v>
      </c>
      <c r="E20" s="73" t="s">
        <v>138</v>
      </c>
      <c r="F20" s="55" t="s">
        <v>139</v>
      </c>
      <c r="G20" s="74">
        <v>1141000</v>
      </c>
      <c r="H20" s="74" t="s">
        <v>84</v>
      </c>
      <c r="I20" s="75" t="s">
        <v>140</v>
      </c>
      <c r="J20" s="72">
        <v>1141400</v>
      </c>
      <c r="K20" s="76" t="s">
        <v>104</v>
      </c>
      <c r="L20" s="72" t="s">
        <v>148</v>
      </c>
      <c r="M20" s="77" t="s">
        <v>138</v>
      </c>
      <c r="N20" s="77" t="s">
        <v>149</v>
      </c>
      <c r="O20" s="77"/>
      <c r="P20" s="76" t="s">
        <v>143</v>
      </c>
      <c r="Q20" s="76" t="s">
        <v>144</v>
      </c>
      <c r="S20" s="76" t="s">
        <v>150</v>
      </c>
      <c r="T20" s="77"/>
      <c r="U20" s="76" t="s">
        <v>146</v>
      </c>
      <c r="X20" s="77"/>
      <c r="AN20" s="99"/>
      <c r="AO20" s="81">
        <v>500</v>
      </c>
      <c r="AP20" s="82">
        <v>20000</v>
      </c>
      <c r="AQ20" s="86"/>
      <c r="AR20" s="76" t="s">
        <v>147</v>
      </c>
      <c r="AS20" s="84">
        <f t="shared" ref="AS20:AS83" si="12">BU20+(BU20*CK20/100)+CS20+(CS20*DI20/100)</f>
        <v>270</v>
      </c>
      <c r="AT20" s="84">
        <f t="shared" ref="AT20:AT83" si="13">BV20+(BV20*CL20/100)+CT20+(CT20*DJ20/100)</f>
        <v>138.59999999999999</v>
      </c>
      <c r="AU20" s="85">
        <v>10</v>
      </c>
      <c r="AV20" s="85">
        <v>8</v>
      </c>
      <c r="AW20" s="86">
        <v>33</v>
      </c>
      <c r="AX20" s="84">
        <f t="shared" ref="AX20:AX83" si="14">BY20+(BY20*CM20/100)+CW20+(CW20*DK20/100)</f>
        <v>270</v>
      </c>
      <c r="AY20" s="84">
        <f t="shared" ref="AY20:AY83" si="15">BZ20+(BZ20*CN20/100)+CX20+(CX20*DL20/100)</f>
        <v>138.59999999999999</v>
      </c>
      <c r="AZ20" s="85">
        <v>8</v>
      </c>
      <c r="BA20" s="85">
        <v>6</v>
      </c>
      <c r="BB20" s="86">
        <v>25</v>
      </c>
      <c r="BC20" s="84">
        <f t="shared" ref="BC20:BC83" si="16">CC20+(CC20*CO20/100)+DA20+(DA20*DM20/100)</f>
        <v>270</v>
      </c>
      <c r="BD20" s="84">
        <f t="shared" ref="BD20:BD83" si="17">CD20+(CD20*CP20/100)+DB20+(DB20*DN20/100)</f>
        <v>138.59999999999999</v>
      </c>
      <c r="BE20" s="85">
        <v>11</v>
      </c>
      <c r="BF20" s="85"/>
      <c r="BG20" s="86"/>
      <c r="BH20" s="84">
        <f t="shared" ref="BH20:BH83" si="18">CG20+(CG20*CQ20/100)+DE20+(DE20*DO20/100)</f>
        <v>270</v>
      </c>
      <c r="BI20" s="84">
        <f t="shared" ref="BI20:BI83" si="19">CH20+(CH20*CR20/100)+DF20+(DF20*DP20/100)</f>
        <v>138.59999999999999</v>
      </c>
      <c r="BJ20" s="85">
        <v>12</v>
      </c>
      <c r="BK20" s="85"/>
      <c r="BL20" s="86"/>
      <c r="BM20" s="71">
        <v>4000</v>
      </c>
      <c r="BN20" s="84">
        <f t="shared" ref="BN20:BN83" si="20">IF(BM20&gt;0,AS20+(AT20*BM20/1000),"")</f>
        <v>824.39999999999998</v>
      </c>
      <c r="BO20" s="71">
        <v>10000</v>
      </c>
      <c r="BP20" s="84">
        <f t="shared" ref="BP20:BP83" si="21">IF(BO20&gt;0,AX20+(AY20*BO20/1000),"")</f>
        <v>1656</v>
      </c>
      <c r="BQ20" s="71">
        <v>11000</v>
      </c>
      <c r="BR20" s="84">
        <f t="shared" ref="BR20:BR83" si="22">IF(BQ20&gt;0,BC20+(BD20*BQ20/1000),"")</f>
        <v>1794.5999999999999</v>
      </c>
      <c r="BS20" s="71">
        <v>51000</v>
      </c>
      <c r="BT20" s="84">
        <f t="shared" ref="BT20:BT83" si="23">IF(BS20&gt;0,BH20+(BI20*BS20/1000),"")</f>
        <v>7338.6000000000004</v>
      </c>
      <c r="BU20" s="84">
        <v>120</v>
      </c>
      <c r="BV20" s="84">
        <v>61.600000000000001</v>
      </c>
      <c r="BY20" s="84">
        <v>120</v>
      </c>
      <c r="BZ20" s="84">
        <v>61.600000000000001</v>
      </c>
      <c r="CC20" s="84">
        <v>120</v>
      </c>
      <c r="CD20" s="84">
        <v>61.600000000000001</v>
      </c>
      <c r="CG20" s="84">
        <v>120</v>
      </c>
      <c r="CH20" s="84">
        <v>61.600000000000001</v>
      </c>
      <c r="CK20" s="84">
        <v>125</v>
      </c>
      <c r="CL20" s="84">
        <v>125</v>
      </c>
      <c r="CM20" s="84">
        <v>125</v>
      </c>
      <c r="CN20" s="84">
        <v>125</v>
      </c>
      <c r="CO20" s="84">
        <v>125</v>
      </c>
      <c r="CP20" s="84">
        <v>125</v>
      </c>
      <c r="CQ20" s="84">
        <v>125</v>
      </c>
      <c r="CR20" s="84">
        <v>125</v>
      </c>
      <c r="CS20" s="84"/>
      <c r="CT20" s="84"/>
      <c r="CW20" s="84"/>
      <c r="CX20" s="84"/>
      <c r="DA20" s="84"/>
      <c r="DB20" s="84"/>
      <c r="DE20" s="84"/>
      <c r="DF20" s="84"/>
    </row>
    <row r="21" s="58" customFormat="1" ht="66">
      <c r="A21" s="60">
        <v>1000000</v>
      </c>
      <c r="B21" s="100" t="s">
        <v>80</v>
      </c>
      <c r="C21" s="54" t="s">
        <v>81</v>
      </c>
      <c r="D21" s="60">
        <v>1140000</v>
      </c>
      <c r="E21" s="101" t="s">
        <v>138</v>
      </c>
      <c r="F21" s="55" t="s">
        <v>139</v>
      </c>
      <c r="G21" s="102">
        <v>1145000</v>
      </c>
      <c r="H21" s="102" t="s">
        <v>123</v>
      </c>
      <c r="I21" s="56" t="s">
        <v>151</v>
      </c>
      <c r="J21" s="100">
        <v>1145100</v>
      </c>
      <c r="K21" s="58" t="s">
        <v>125</v>
      </c>
      <c r="L21" s="100" t="s">
        <v>152</v>
      </c>
      <c r="M21" s="103" t="s">
        <v>138</v>
      </c>
      <c r="N21" s="103" t="s">
        <v>153</v>
      </c>
      <c r="O21" s="103"/>
      <c r="P21" s="58" t="s">
        <v>154</v>
      </c>
      <c r="R21" s="58" t="s">
        <v>145</v>
      </c>
      <c r="T21" s="103"/>
      <c r="U21" s="51" t="s">
        <v>146</v>
      </c>
      <c r="X21" s="103"/>
      <c r="AN21" s="59"/>
      <c r="AO21" s="58">
        <v>500</v>
      </c>
      <c r="AP21" s="60">
        <v>100000</v>
      </c>
      <c r="AQ21" s="61"/>
      <c r="AR21" s="58" t="s">
        <v>147</v>
      </c>
      <c r="AS21" s="104">
        <f t="shared" si="12"/>
        <v>281.25</v>
      </c>
      <c r="AT21" s="104">
        <f t="shared" si="13"/>
        <v>126.74249999999999</v>
      </c>
      <c r="AU21" s="63">
        <v>7</v>
      </c>
      <c r="AV21" s="63">
        <v>4</v>
      </c>
      <c r="AW21" s="64">
        <v>33</v>
      </c>
      <c r="AX21" s="104">
        <f t="shared" si="14"/>
        <v>281.25</v>
      </c>
      <c r="AY21" s="104">
        <f t="shared" si="15"/>
        <v>126.74249999999999</v>
      </c>
      <c r="AZ21" s="63">
        <v>7</v>
      </c>
      <c r="BA21" s="63">
        <v>4</v>
      </c>
      <c r="BB21" s="64">
        <v>25</v>
      </c>
      <c r="BC21" s="104">
        <f t="shared" si="16"/>
        <v>281.25</v>
      </c>
      <c r="BD21" s="104">
        <f t="shared" si="17"/>
        <v>126.74249999999999</v>
      </c>
      <c r="BE21" s="63">
        <v>8</v>
      </c>
      <c r="BF21" s="63">
        <v>5</v>
      </c>
      <c r="BG21" s="64">
        <v>23</v>
      </c>
      <c r="BH21" s="104">
        <f t="shared" si="18"/>
        <v>281.25</v>
      </c>
      <c r="BI21" s="104">
        <f t="shared" si="19"/>
        <v>126.74249999999999</v>
      </c>
      <c r="BJ21" s="105">
        <v>12</v>
      </c>
      <c r="BK21" s="105"/>
      <c r="BL21" s="64"/>
      <c r="BM21" s="60">
        <v>4000</v>
      </c>
      <c r="BN21" s="104">
        <f t="shared" si="20"/>
        <v>788.21999999999991</v>
      </c>
      <c r="BO21" s="60">
        <v>10000</v>
      </c>
      <c r="BP21" s="104">
        <f t="shared" si="21"/>
        <v>1548.675</v>
      </c>
      <c r="BQ21" s="60">
        <v>11000</v>
      </c>
      <c r="BR21" s="104">
        <f t="shared" si="22"/>
        <v>1675.4175</v>
      </c>
      <c r="BS21" s="60">
        <v>51000</v>
      </c>
      <c r="BT21" s="104">
        <f t="shared" si="23"/>
        <v>6745.1175000000003</v>
      </c>
      <c r="BU21" s="104">
        <v>125</v>
      </c>
      <c r="BV21" s="104">
        <v>56.329999999999998</v>
      </c>
      <c r="BY21" s="104">
        <v>125</v>
      </c>
      <c r="BZ21" s="104">
        <v>56.329999999999998</v>
      </c>
      <c r="CC21" s="104">
        <v>125</v>
      </c>
      <c r="CD21" s="104">
        <v>56.329999999999998</v>
      </c>
      <c r="CG21" s="104">
        <v>125</v>
      </c>
      <c r="CH21" s="104">
        <v>56.329999999999998</v>
      </c>
      <c r="CK21" s="104">
        <v>125</v>
      </c>
      <c r="CL21" s="104">
        <v>125</v>
      </c>
      <c r="CM21" s="104">
        <v>125</v>
      </c>
      <c r="CN21" s="104">
        <v>125</v>
      </c>
      <c r="CO21" s="104">
        <v>125</v>
      </c>
      <c r="CP21" s="104">
        <v>125</v>
      </c>
      <c r="CQ21" s="104">
        <v>125</v>
      </c>
      <c r="CR21" s="104">
        <v>125</v>
      </c>
      <c r="CS21" s="104"/>
      <c r="CT21" s="104"/>
      <c r="CW21" s="104"/>
      <c r="CX21" s="104"/>
      <c r="DA21" s="104"/>
      <c r="DB21" s="104"/>
      <c r="DE21" s="104"/>
      <c r="DF21" s="104"/>
    </row>
    <row r="22" s="51" customFormat="1" ht="15.75" customHeight="1">
      <c r="A22" s="52">
        <v>1000000</v>
      </c>
      <c r="B22" s="53" t="s">
        <v>80</v>
      </c>
      <c r="C22" s="54" t="s">
        <v>81</v>
      </c>
      <c r="D22" s="52">
        <v>1140000</v>
      </c>
      <c r="E22" s="54" t="s">
        <v>138</v>
      </c>
      <c r="F22" s="55" t="s">
        <v>139</v>
      </c>
      <c r="G22" s="55">
        <v>1145000</v>
      </c>
      <c r="H22" s="55" t="s">
        <v>123</v>
      </c>
      <c r="I22" s="56" t="s">
        <v>151</v>
      </c>
      <c r="J22" s="53">
        <v>1145400</v>
      </c>
      <c r="K22" s="51" t="s">
        <v>38</v>
      </c>
      <c r="L22" s="53" t="s">
        <v>155</v>
      </c>
      <c r="M22" s="57" t="s">
        <v>138</v>
      </c>
      <c r="N22" s="57" t="s">
        <v>156</v>
      </c>
      <c r="O22" s="57"/>
      <c r="P22" s="51" t="s">
        <v>154</v>
      </c>
      <c r="S22" s="51" t="s">
        <v>150</v>
      </c>
      <c r="T22" s="57"/>
      <c r="U22" s="51" t="s">
        <v>146</v>
      </c>
      <c r="X22" s="57"/>
      <c r="AN22" s="106"/>
      <c r="AO22" s="58">
        <v>500</v>
      </c>
      <c r="AP22" s="60">
        <v>20000</v>
      </c>
      <c r="AQ22" s="64"/>
      <c r="AR22" s="51" t="s">
        <v>147</v>
      </c>
      <c r="AS22" s="62">
        <f t="shared" si="12"/>
        <v>270</v>
      </c>
      <c r="AT22" s="62">
        <f t="shared" si="13"/>
        <v>122.84999999999999</v>
      </c>
      <c r="AU22" s="63">
        <v>10</v>
      </c>
      <c r="AV22" s="63">
        <v>8</v>
      </c>
      <c r="AW22" s="64">
        <v>33</v>
      </c>
      <c r="AX22" s="62">
        <f t="shared" si="14"/>
        <v>270</v>
      </c>
      <c r="AY22" s="62">
        <f t="shared" si="15"/>
        <v>122.84999999999999</v>
      </c>
      <c r="AZ22" s="63">
        <v>8</v>
      </c>
      <c r="BA22" s="63">
        <v>6</v>
      </c>
      <c r="BB22" s="64">
        <v>25</v>
      </c>
      <c r="BC22" s="62">
        <f t="shared" si="16"/>
        <v>270</v>
      </c>
      <c r="BD22" s="62">
        <f t="shared" si="17"/>
        <v>122.84999999999999</v>
      </c>
      <c r="BE22" s="63">
        <v>11</v>
      </c>
      <c r="BF22" s="63"/>
      <c r="BG22" s="64"/>
      <c r="BH22" s="62">
        <f t="shared" si="18"/>
        <v>270</v>
      </c>
      <c r="BI22" s="62">
        <f t="shared" si="19"/>
        <v>122.84999999999999</v>
      </c>
      <c r="BJ22" s="63">
        <v>12</v>
      </c>
      <c r="BK22" s="63"/>
      <c r="BL22" s="64"/>
      <c r="BM22" s="52">
        <v>4000</v>
      </c>
      <c r="BN22" s="62">
        <f t="shared" si="20"/>
        <v>761.39999999999998</v>
      </c>
      <c r="BO22" s="52">
        <v>10000</v>
      </c>
      <c r="BP22" s="62">
        <f t="shared" si="21"/>
        <v>1498.5</v>
      </c>
      <c r="BQ22" s="52">
        <v>11000</v>
      </c>
      <c r="BR22" s="62">
        <f t="shared" si="22"/>
        <v>1621.3499999999999</v>
      </c>
      <c r="BS22" s="52">
        <v>51000</v>
      </c>
      <c r="BT22" s="62">
        <f t="shared" si="23"/>
        <v>6535.3500000000004</v>
      </c>
      <c r="BU22" s="62">
        <v>120</v>
      </c>
      <c r="BV22" s="62">
        <v>54.600000000000001</v>
      </c>
      <c r="BY22" s="62">
        <v>120</v>
      </c>
      <c r="BZ22" s="62">
        <v>54.600000000000001</v>
      </c>
      <c r="CC22" s="62">
        <v>120</v>
      </c>
      <c r="CD22" s="62">
        <v>54.600000000000001</v>
      </c>
      <c r="CG22" s="62">
        <v>120</v>
      </c>
      <c r="CH22" s="62">
        <v>54.600000000000001</v>
      </c>
      <c r="CK22" s="104">
        <v>125</v>
      </c>
      <c r="CL22" s="104">
        <v>125</v>
      </c>
      <c r="CM22" s="104">
        <v>125</v>
      </c>
      <c r="CN22" s="104">
        <v>125</v>
      </c>
      <c r="CO22" s="104">
        <v>125</v>
      </c>
      <c r="CP22" s="104">
        <v>125</v>
      </c>
      <c r="CQ22" s="104">
        <v>125</v>
      </c>
      <c r="CR22" s="104">
        <v>125</v>
      </c>
      <c r="CS22" s="62"/>
      <c r="CT22" s="62"/>
      <c r="CW22" s="62"/>
      <c r="CX22" s="62"/>
      <c r="DA22" s="62"/>
      <c r="DB22" s="62"/>
      <c r="DE22" s="62"/>
      <c r="DF22" s="62"/>
    </row>
    <row r="23" s="76" customFormat="1" ht="21.75" customHeight="1">
      <c r="A23" s="71">
        <v>2000000</v>
      </c>
      <c r="B23" s="72" t="s">
        <v>157</v>
      </c>
      <c r="C23" s="75" t="s">
        <v>158</v>
      </c>
      <c r="D23" s="71">
        <v>2200000</v>
      </c>
      <c r="E23" s="107" t="s">
        <v>159</v>
      </c>
      <c r="F23" s="108" t="s">
        <v>160</v>
      </c>
      <c r="G23" s="74"/>
      <c r="H23" s="74"/>
      <c r="I23" s="72"/>
      <c r="J23" s="72"/>
      <c r="L23" s="72" t="s">
        <v>161</v>
      </c>
      <c r="M23" s="107" t="s">
        <v>159</v>
      </c>
      <c r="N23" s="109" t="s">
        <v>162</v>
      </c>
      <c r="O23" s="110" t="s">
        <v>163</v>
      </c>
      <c r="T23" s="77"/>
      <c r="U23" s="76" t="s">
        <v>164</v>
      </c>
      <c r="V23" s="76" t="s">
        <v>165</v>
      </c>
      <c r="W23" s="76" t="s">
        <v>166</v>
      </c>
      <c r="X23" s="77" t="s">
        <v>167</v>
      </c>
      <c r="Y23" s="76" t="s">
        <v>168</v>
      </c>
      <c r="Z23" s="76" t="s">
        <v>169</v>
      </c>
      <c r="AD23" s="76" t="s">
        <v>170</v>
      </c>
      <c r="AE23" s="76" t="s">
        <v>171</v>
      </c>
      <c r="AF23" s="76" t="s">
        <v>171</v>
      </c>
      <c r="AG23" s="77" t="s">
        <v>172</v>
      </c>
      <c r="AH23" s="77"/>
      <c r="AI23" s="77"/>
      <c r="AJ23" s="77"/>
      <c r="AK23" s="77"/>
      <c r="AL23" s="111" t="s">
        <v>173</v>
      </c>
      <c r="AN23" s="99" t="s">
        <v>174</v>
      </c>
      <c r="AO23" s="76">
        <v>500</v>
      </c>
      <c r="AP23" s="82">
        <v>100000</v>
      </c>
      <c r="AQ23" s="86">
        <v>7.5999999999999996</v>
      </c>
      <c r="AR23" s="76" t="s">
        <v>92</v>
      </c>
      <c r="AS23" s="84">
        <f t="shared" si="12"/>
        <v>277.62</v>
      </c>
      <c r="AT23" s="84">
        <f t="shared" si="13"/>
        <v>156.9975</v>
      </c>
      <c r="AU23" s="85">
        <v>7</v>
      </c>
      <c r="AV23" s="85">
        <v>5</v>
      </c>
      <c r="AW23" s="86">
        <v>24</v>
      </c>
      <c r="AX23" s="84">
        <f t="shared" si="14"/>
        <v>265.62</v>
      </c>
      <c r="AY23" s="84">
        <f t="shared" si="15"/>
        <v>146.4375</v>
      </c>
      <c r="AZ23" s="85">
        <v>7</v>
      </c>
      <c r="BA23" s="85">
        <v>5</v>
      </c>
      <c r="BB23" s="86">
        <v>15</v>
      </c>
      <c r="BC23" s="84">
        <f t="shared" si="16"/>
        <v>820.88999999999999</v>
      </c>
      <c r="BD23" s="84">
        <f t="shared" si="17"/>
        <v>99.712500000000006</v>
      </c>
      <c r="BE23" s="85">
        <v>8</v>
      </c>
      <c r="BF23" s="85">
        <v>6</v>
      </c>
      <c r="BG23" s="86">
        <v>12</v>
      </c>
      <c r="BH23" s="84">
        <f t="shared" si="18"/>
        <v>946.64999999999998</v>
      </c>
      <c r="BI23" s="84">
        <f t="shared" si="19"/>
        <v>99.232499999999987</v>
      </c>
      <c r="BJ23" s="85">
        <v>12</v>
      </c>
      <c r="BK23" s="85">
        <v>9</v>
      </c>
      <c r="BL23" s="86">
        <v>14</v>
      </c>
      <c r="BM23" s="71">
        <v>5000</v>
      </c>
      <c r="BN23" s="84">
        <f t="shared" si="20"/>
        <v>1062.6075000000001</v>
      </c>
      <c r="BO23" s="71">
        <v>5100</v>
      </c>
      <c r="BP23" s="84">
        <f t="shared" si="21"/>
        <v>1012.45125</v>
      </c>
      <c r="BQ23" s="71">
        <v>50000</v>
      </c>
      <c r="BR23" s="84">
        <f t="shared" si="22"/>
        <v>5806.5150000000003</v>
      </c>
      <c r="BS23" s="71">
        <v>50500</v>
      </c>
      <c r="BT23" s="84">
        <f t="shared" si="23"/>
        <v>5957.8912499999988</v>
      </c>
      <c r="BU23" s="84">
        <v>90</v>
      </c>
      <c r="BV23" s="84">
        <v>45.030000000000001</v>
      </c>
      <c r="BY23" s="84">
        <v>90</v>
      </c>
      <c r="BZ23" s="84">
        <v>45.030000000000001</v>
      </c>
      <c r="CC23" s="84">
        <v>305</v>
      </c>
      <c r="CD23" s="84">
        <v>24.050000000000001</v>
      </c>
      <c r="CG23" s="84">
        <v>305</v>
      </c>
      <c r="CH23" s="84">
        <v>24.050000000000001</v>
      </c>
      <c r="CK23" s="84">
        <v>125</v>
      </c>
      <c r="CL23" s="84">
        <v>125</v>
      </c>
      <c r="CM23" s="84">
        <v>125</v>
      </c>
      <c r="CN23" s="84">
        <v>125</v>
      </c>
      <c r="CO23" s="84">
        <v>125</v>
      </c>
      <c r="CP23" s="84">
        <v>125</v>
      </c>
      <c r="CQ23" s="84">
        <v>125</v>
      </c>
      <c r="CR23" s="84">
        <v>125</v>
      </c>
      <c r="CS23" s="112">
        <v>31.300000000000001</v>
      </c>
      <c r="CT23" s="112">
        <v>23.199999999999999</v>
      </c>
      <c r="CU23" s="76" t="s">
        <v>175</v>
      </c>
      <c r="CW23" s="112">
        <v>26.300000000000001</v>
      </c>
      <c r="CX23" s="112">
        <v>18.800000000000001</v>
      </c>
      <c r="CY23" s="76" t="s">
        <v>175</v>
      </c>
      <c r="DA23" s="112">
        <v>56.100000000000001</v>
      </c>
      <c r="DB23" s="112">
        <v>19</v>
      </c>
      <c r="DC23" s="76" t="s">
        <v>175</v>
      </c>
      <c r="DE23" s="112">
        <v>108.5</v>
      </c>
      <c r="DF23" s="112">
        <v>18.800000000000001</v>
      </c>
      <c r="DG23" s="76" t="s">
        <v>175</v>
      </c>
      <c r="DI23" s="84">
        <v>140</v>
      </c>
      <c r="DJ23" s="84">
        <v>140</v>
      </c>
      <c r="DK23" s="84">
        <v>140</v>
      </c>
      <c r="DL23" s="84">
        <v>140</v>
      </c>
      <c r="DM23" s="84">
        <v>140</v>
      </c>
      <c r="DN23" s="84">
        <v>140</v>
      </c>
      <c r="DO23" s="84">
        <v>140</v>
      </c>
      <c r="DP23" s="84">
        <v>140</v>
      </c>
    </row>
    <row r="24" s="76" customFormat="1" ht="15.75" customHeight="1">
      <c r="A24" s="71">
        <v>2000000</v>
      </c>
      <c r="B24" s="72" t="s">
        <v>157</v>
      </c>
      <c r="C24" s="75" t="s">
        <v>158</v>
      </c>
      <c r="D24" s="71">
        <v>2200000</v>
      </c>
      <c r="E24" s="107" t="s">
        <v>159</v>
      </c>
      <c r="F24" s="108" t="s">
        <v>160</v>
      </c>
      <c r="G24" s="74"/>
      <c r="H24" s="74"/>
      <c r="I24" s="72"/>
      <c r="J24" s="72"/>
      <c r="L24" s="72" t="s">
        <v>176</v>
      </c>
      <c r="M24" s="107" t="s">
        <v>159</v>
      </c>
      <c r="N24" s="109"/>
      <c r="O24" s="110" t="s">
        <v>163</v>
      </c>
      <c r="T24" s="77"/>
      <c r="U24" s="76" t="s">
        <v>164</v>
      </c>
      <c r="V24" s="76" t="s">
        <v>165</v>
      </c>
      <c r="W24" s="76" t="s">
        <v>166</v>
      </c>
      <c r="X24" s="77" t="s">
        <v>167</v>
      </c>
      <c r="Y24" s="76" t="s">
        <v>177</v>
      </c>
      <c r="Z24" s="76" t="s">
        <v>169</v>
      </c>
      <c r="AD24" s="76" t="s">
        <v>170</v>
      </c>
      <c r="AE24" s="76" t="s">
        <v>171</v>
      </c>
      <c r="AF24" s="76" t="s">
        <v>171</v>
      </c>
      <c r="AG24" s="77" t="s">
        <v>172</v>
      </c>
      <c r="AH24" s="77"/>
      <c r="AI24" s="77"/>
      <c r="AJ24" s="77"/>
      <c r="AK24" s="77"/>
      <c r="AL24" s="111" t="s">
        <v>173</v>
      </c>
      <c r="AN24" s="99" t="s">
        <v>174</v>
      </c>
      <c r="AO24" s="76">
        <v>500</v>
      </c>
      <c r="AP24" s="82">
        <v>100000</v>
      </c>
      <c r="AQ24" s="86">
        <v>11.1</v>
      </c>
      <c r="AR24" s="76" t="s">
        <v>92</v>
      </c>
      <c r="AS24" s="84">
        <f t="shared" si="12"/>
        <v>310.5</v>
      </c>
      <c r="AT24" s="84">
        <f t="shared" si="13"/>
        <v>172.11750000000001</v>
      </c>
      <c r="AU24" s="85">
        <v>7</v>
      </c>
      <c r="AV24" s="85">
        <v>5</v>
      </c>
      <c r="AW24" s="86">
        <v>24</v>
      </c>
      <c r="AX24" s="84">
        <f t="shared" si="14"/>
        <v>285.77999999999997</v>
      </c>
      <c r="AY24" s="84">
        <f t="shared" si="15"/>
        <v>166.35749999999999</v>
      </c>
      <c r="AZ24" s="85">
        <v>7</v>
      </c>
      <c r="BA24" s="85">
        <v>5</v>
      </c>
      <c r="BB24" s="86">
        <v>15</v>
      </c>
      <c r="BC24" s="84">
        <f t="shared" si="16"/>
        <v>918.09000000000003</v>
      </c>
      <c r="BD24" s="84">
        <f t="shared" si="17"/>
        <v>114.5925</v>
      </c>
      <c r="BE24" s="85">
        <v>8</v>
      </c>
      <c r="BF24" s="85">
        <v>6</v>
      </c>
      <c r="BG24" s="86">
        <v>12</v>
      </c>
      <c r="BH24" s="84">
        <f t="shared" si="18"/>
        <v>1301.8499999999999</v>
      </c>
      <c r="BI24" s="84">
        <f t="shared" si="19"/>
        <v>112.1925</v>
      </c>
      <c r="BJ24" s="85">
        <v>12</v>
      </c>
      <c r="BK24" s="85">
        <v>9</v>
      </c>
      <c r="BL24" s="86">
        <v>14</v>
      </c>
      <c r="BM24" s="71">
        <v>5000</v>
      </c>
      <c r="BN24" s="84">
        <f t="shared" si="20"/>
        <v>1171.0875000000001</v>
      </c>
      <c r="BO24" s="71">
        <v>5100</v>
      </c>
      <c r="BP24" s="84">
        <f t="shared" si="21"/>
        <v>1134.20325</v>
      </c>
      <c r="BQ24" s="71">
        <v>50000</v>
      </c>
      <c r="BR24" s="84">
        <f t="shared" si="22"/>
        <v>6647.7150000000001</v>
      </c>
      <c r="BS24" s="71">
        <v>50500</v>
      </c>
      <c r="BT24" s="84">
        <f t="shared" si="23"/>
        <v>6967.5712499999991</v>
      </c>
      <c r="BU24" s="84">
        <v>90</v>
      </c>
      <c r="BV24" s="84">
        <v>45.030000000000001</v>
      </c>
      <c r="BY24" s="84">
        <v>90</v>
      </c>
      <c r="BZ24" s="84">
        <v>45.030000000000001</v>
      </c>
      <c r="CC24" s="84">
        <v>305</v>
      </c>
      <c r="CD24" s="84">
        <v>24.050000000000001</v>
      </c>
      <c r="CG24" s="84">
        <v>305</v>
      </c>
      <c r="CH24" s="84">
        <v>24.050000000000001</v>
      </c>
      <c r="CK24" s="84">
        <v>125</v>
      </c>
      <c r="CL24" s="84">
        <v>125</v>
      </c>
      <c r="CM24" s="84">
        <v>125</v>
      </c>
      <c r="CN24" s="84">
        <v>125</v>
      </c>
      <c r="CO24" s="84">
        <v>125</v>
      </c>
      <c r="CP24" s="84">
        <v>125</v>
      </c>
      <c r="CQ24" s="84">
        <v>125</v>
      </c>
      <c r="CR24" s="84">
        <v>125</v>
      </c>
      <c r="CS24" s="112">
        <v>45</v>
      </c>
      <c r="CT24" s="112">
        <v>29.5</v>
      </c>
      <c r="CU24" s="76" t="s">
        <v>175</v>
      </c>
      <c r="CW24" s="112">
        <v>34.700000000000003</v>
      </c>
      <c r="CX24" s="112">
        <v>27.100000000000001</v>
      </c>
      <c r="CY24" s="76" t="s">
        <v>175</v>
      </c>
      <c r="DA24" s="112">
        <v>96.599999999999994</v>
      </c>
      <c r="DB24" s="112">
        <v>25.199999999999999</v>
      </c>
      <c r="DC24" s="76" t="s">
        <v>175</v>
      </c>
      <c r="DE24" s="112">
        <v>256.5</v>
      </c>
      <c r="DF24" s="112">
        <v>24.199999999999999</v>
      </c>
      <c r="DG24" s="76" t="s">
        <v>175</v>
      </c>
      <c r="DI24" s="84">
        <v>140</v>
      </c>
      <c r="DJ24" s="84">
        <v>140</v>
      </c>
      <c r="DK24" s="84">
        <v>140</v>
      </c>
      <c r="DL24" s="84">
        <v>140</v>
      </c>
      <c r="DM24" s="84">
        <v>140</v>
      </c>
      <c r="DN24" s="84">
        <v>140</v>
      </c>
      <c r="DO24" s="84">
        <v>140</v>
      </c>
      <c r="DP24" s="84">
        <v>140</v>
      </c>
    </row>
    <row r="25" s="76" customFormat="1" ht="15.75" customHeight="1">
      <c r="A25" s="71">
        <v>2000000</v>
      </c>
      <c r="B25" s="72" t="s">
        <v>157</v>
      </c>
      <c r="C25" s="75" t="s">
        <v>158</v>
      </c>
      <c r="D25" s="71">
        <v>2200000</v>
      </c>
      <c r="E25" s="107" t="s">
        <v>159</v>
      </c>
      <c r="F25" s="108" t="s">
        <v>160</v>
      </c>
      <c r="G25" s="74"/>
      <c r="H25" s="74"/>
      <c r="I25" s="72"/>
      <c r="J25" s="72"/>
      <c r="L25" s="72" t="s">
        <v>178</v>
      </c>
      <c r="M25" s="107" t="s">
        <v>159</v>
      </c>
      <c r="N25" s="109" t="s">
        <v>179</v>
      </c>
      <c r="O25" s="110" t="s">
        <v>163</v>
      </c>
      <c r="T25" s="77"/>
      <c r="U25" s="76" t="s">
        <v>180</v>
      </c>
      <c r="V25" s="76" t="s">
        <v>181</v>
      </c>
      <c r="W25" s="76" t="s">
        <v>182</v>
      </c>
      <c r="X25" s="77" t="s">
        <v>167</v>
      </c>
      <c r="Y25" s="76" t="s">
        <v>183</v>
      </c>
      <c r="Z25" s="76" t="s">
        <v>169</v>
      </c>
      <c r="AD25" s="76" t="s">
        <v>170</v>
      </c>
      <c r="AE25" s="76" t="s">
        <v>171</v>
      </c>
      <c r="AF25" s="76" t="s">
        <v>171</v>
      </c>
      <c r="AG25" s="77" t="s">
        <v>184</v>
      </c>
      <c r="AH25" s="77"/>
      <c r="AI25" s="77"/>
      <c r="AJ25" s="77"/>
      <c r="AK25" s="77"/>
      <c r="AL25" s="111" t="s">
        <v>173</v>
      </c>
      <c r="AN25" s="99" t="s">
        <v>174</v>
      </c>
      <c r="AO25" s="76">
        <v>500</v>
      </c>
      <c r="AP25" s="82">
        <v>100000</v>
      </c>
      <c r="AQ25" s="86">
        <v>9</v>
      </c>
      <c r="AR25" s="76" t="s">
        <v>92</v>
      </c>
      <c r="AS25" s="84">
        <f t="shared" si="12"/>
        <v>275.69999999999999</v>
      </c>
      <c r="AT25" s="84">
        <f t="shared" si="13"/>
        <v>157.47749999999999</v>
      </c>
      <c r="AU25" s="85">
        <v>7</v>
      </c>
      <c r="AV25" s="85">
        <v>5</v>
      </c>
      <c r="AW25" s="86">
        <v>24</v>
      </c>
      <c r="AX25" s="84">
        <f t="shared" si="14"/>
        <v>280.5</v>
      </c>
      <c r="AY25" s="84">
        <f t="shared" si="15"/>
        <v>151.23749999999998</v>
      </c>
      <c r="AZ25" s="85">
        <v>7</v>
      </c>
      <c r="BA25" s="85">
        <v>5</v>
      </c>
      <c r="BB25" s="86">
        <v>15</v>
      </c>
      <c r="BC25" s="84">
        <f t="shared" si="16"/>
        <v>841.04999999999995</v>
      </c>
      <c r="BD25" s="84">
        <f t="shared" si="17"/>
        <v>102.35250000000001</v>
      </c>
      <c r="BE25" s="85">
        <v>8</v>
      </c>
      <c r="BF25" s="85">
        <v>6</v>
      </c>
      <c r="BG25" s="86">
        <v>12</v>
      </c>
      <c r="BH25" s="84">
        <f t="shared" si="18"/>
        <v>1132.1700000000001</v>
      </c>
      <c r="BI25" s="84">
        <f t="shared" si="19"/>
        <v>101.87249999999999</v>
      </c>
      <c r="BJ25" s="85">
        <v>12</v>
      </c>
      <c r="BK25" s="85">
        <v>9</v>
      </c>
      <c r="BL25" s="86">
        <v>14</v>
      </c>
      <c r="BM25" s="71">
        <v>5000</v>
      </c>
      <c r="BN25" s="84">
        <f t="shared" si="20"/>
        <v>1063.0875000000001</v>
      </c>
      <c r="BO25" s="71">
        <v>10000</v>
      </c>
      <c r="BP25" s="84">
        <f t="shared" si="21"/>
        <v>1792.8749999999998</v>
      </c>
      <c r="BQ25" s="71">
        <v>10000</v>
      </c>
      <c r="BR25" s="84">
        <f t="shared" si="22"/>
        <v>1864.575</v>
      </c>
      <c r="BS25" s="71">
        <v>51000</v>
      </c>
      <c r="BT25" s="84">
        <f t="shared" si="23"/>
        <v>6327.6674999999996</v>
      </c>
      <c r="BU25" s="84">
        <v>90</v>
      </c>
      <c r="BV25" s="84">
        <v>45.030000000000001</v>
      </c>
      <c r="BY25" s="84">
        <v>90</v>
      </c>
      <c r="BZ25" s="84">
        <v>45.030000000000001</v>
      </c>
      <c r="CC25" s="84">
        <v>305</v>
      </c>
      <c r="CD25" s="84">
        <v>24.050000000000001</v>
      </c>
      <c r="CG25" s="84">
        <v>305</v>
      </c>
      <c r="CH25" s="84">
        <v>24.050000000000001</v>
      </c>
      <c r="CK25" s="84">
        <v>125</v>
      </c>
      <c r="CL25" s="84">
        <v>125</v>
      </c>
      <c r="CM25" s="84">
        <v>125</v>
      </c>
      <c r="CN25" s="84">
        <v>125</v>
      </c>
      <c r="CO25" s="84">
        <v>125</v>
      </c>
      <c r="CP25" s="84">
        <v>125</v>
      </c>
      <c r="CQ25" s="84">
        <v>125</v>
      </c>
      <c r="CR25" s="84">
        <v>125</v>
      </c>
      <c r="CS25" s="112">
        <v>30.5</v>
      </c>
      <c r="CT25" s="112">
        <v>23.399999999999999</v>
      </c>
      <c r="CU25" s="76" t="s">
        <v>175</v>
      </c>
      <c r="CW25" s="112">
        <v>32.5</v>
      </c>
      <c r="CX25" s="112">
        <v>20.800000000000001</v>
      </c>
      <c r="CY25" s="76" t="s">
        <v>175</v>
      </c>
      <c r="DA25" s="112">
        <v>64.5</v>
      </c>
      <c r="DB25" s="112">
        <v>20.100000000000001</v>
      </c>
      <c r="DC25" s="76" t="s">
        <v>175</v>
      </c>
      <c r="DE25" s="112">
        <v>185.80000000000001</v>
      </c>
      <c r="DF25" s="112">
        <v>19.899999999999999</v>
      </c>
      <c r="DG25" s="76" t="s">
        <v>175</v>
      </c>
      <c r="DI25" s="84">
        <v>140</v>
      </c>
      <c r="DJ25" s="84">
        <v>140</v>
      </c>
      <c r="DK25" s="84">
        <v>140</v>
      </c>
      <c r="DL25" s="84">
        <v>140</v>
      </c>
      <c r="DM25" s="84">
        <v>140</v>
      </c>
      <c r="DN25" s="84">
        <v>140</v>
      </c>
      <c r="DO25" s="84">
        <v>140</v>
      </c>
      <c r="DP25" s="84">
        <v>140</v>
      </c>
    </row>
    <row r="26" s="76" customFormat="1" ht="15.75" customHeight="1">
      <c r="A26" s="71">
        <v>2000000</v>
      </c>
      <c r="B26" s="72" t="s">
        <v>157</v>
      </c>
      <c r="C26" s="75" t="s">
        <v>158</v>
      </c>
      <c r="D26" s="71">
        <v>2200000</v>
      </c>
      <c r="E26" s="107" t="s">
        <v>159</v>
      </c>
      <c r="F26" s="108" t="s">
        <v>160</v>
      </c>
      <c r="G26" s="74"/>
      <c r="H26" s="74"/>
      <c r="I26" s="72"/>
      <c r="J26" s="72"/>
      <c r="L26" s="72" t="s">
        <v>185</v>
      </c>
      <c r="M26" s="107" t="s">
        <v>159</v>
      </c>
      <c r="N26" s="111"/>
      <c r="O26" s="110" t="s">
        <v>163</v>
      </c>
      <c r="T26" s="77"/>
      <c r="U26" s="76" t="s">
        <v>180</v>
      </c>
      <c r="V26" s="76" t="s">
        <v>181</v>
      </c>
      <c r="W26" s="76" t="s">
        <v>182</v>
      </c>
      <c r="X26" s="77" t="s">
        <v>167</v>
      </c>
      <c r="Y26" s="76" t="s">
        <v>168</v>
      </c>
      <c r="Z26" s="76" t="s">
        <v>169</v>
      </c>
      <c r="AD26" s="76" t="s">
        <v>170</v>
      </c>
      <c r="AE26" s="76" t="s">
        <v>171</v>
      </c>
      <c r="AF26" s="76" t="s">
        <v>171</v>
      </c>
      <c r="AG26" s="77" t="s">
        <v>184</v>
      </c>
      <c r="AH26" s="77"/>
      <c r="AI26" s="77"/>
      <c r="AJ26" s="77"/>
      <c r="AK26" s="77"/>
      <c r="AL26" s="111" t="s">
        <v>173</v>
      </c>
      <c r="AN26" s="99" t="s">
        <v>174</v>
      </c>
      <c r="AO26" s="76">
        <v>500</v>
      </c>
      <c r="AP26" s="82">
        <v>100000</v>
      </c>
      <c r="AQ26" s="86">
        <v>10.699999999999999</v>
      </c>
      <c r="AR26" s="76" t="s">
        <v>92</v>
      </c>
      <c r="AS26" s="84">
        <f t="shared" si="12"/>
        <v>298.5</v>
      </c>
      <c r="AT26" s="84">
        <f t="shared" si="13"/>
        <v>174.2775</v>
      </c>
      <c r="AU26" s="85">
        <v>7</v>
      </c>
      <c r="AV26" s="85">
        <v>5</v>
      </c>
      <c r="AW26" s="86">
        <v>24</v>
      </c>
      <c r="AX26" s="84">
        <f t="shared" si="14"/>
        <v>280.5</v>
      </c>
      <c r="AY26" s="84">
        <f t="shared" si="15"/>
        <v>163.47749999999999</v>
      </c>
      <c r="AZ26" s="85">
        <v>7</v>
      </c>
      <c r="BA26" s="85">
        <v>5</v>
      </c>
      <c r="BB26" s="86">
        <v>15</v>
      </c>
      <c r="BC26" s="84">
        <f t="shared" si="16"/>
        <v>887.36999999999989</v>
      </c>
      <c r="BD26" s="84">
        <f t="shared" si="17"/>
        <v>115.3125</v>
      </c>
      <c r="BE26" s="85">
        <v>8</v>
      </c>
      <c r="BF26" s="85">
        <v>6</v>
      </c>
      <c r="BG26" s="86">
        <v>12</v>
      </c>
      <c r="BH26" s="84">
        <f t="shared" si="18"/>
        <v>1231.05</v>
      </c>
      <c r="BI26" s="84">
        <f t="shared" si="19"/>
        <v>112.1925</v>
      </c>
      <c r="BJ26" s="85">
        <v>12</v>
      </c>
      <c r="BK26" s="85">
        <v>9</v>
      </c>
      <c r="BL26" s="86">
        <v>14</v>
      </c>
      <c r="BM26" s="71">
        <v>5000</v>
      </c>
      <c r="BN26" s="84">
        <f t="shared" si="20"/>
        <v>1169.8875</v>
      </c>
      <c r="BO26" s="71">
        <v>10000</v>
      </c>
      <c r="BP26" s="84">
        <f t="shared" si="21"/>
        <v>1915.2750000000001</v>
      </c>
      <c r="BQ26" s="71">
        <v>30000</v>
      </c>
      <c r="BR26" s="84">
        <f t="shared" si="22"/>
        <v>4346.7449999999999</v>
      </c>
      <c r="BS26" s="71">
        <v>51000</v>
      </c>
      <c r="BT26" s="84">
        <f t="shared" si="23"/>
        <v>6952.8675000000003</v>
      </c>
      <c r="BU26" s="84">
        <v>90</v>
      </c>
      <c r="BV26" s="84">
        <v>45.030000000000001</v>
      </c>
      <c r="BY26" s="84">
        <v>90</v>
      </c>
      <c r="BZ26" s="84">
        <v>45.030000000000001</v>
      </c>
      <c r="CC26" s="84">
        <v>305</v>
      </c>
      <c r="CD26" s="84">
        <v>24.050000000000001</v>
      </c>
      <c r="CG26" s="84">
        <v>305</v>
      </c>
      <c r="CH26" s="84">
        <v>24.050000000000001</v>
      </c>
      <c r="CK26" s="84">
        <v>125</v>
      </c>
      <c r="CL26" s="84">
        <v>125</v>
      </c>
      <c r="CM26" s="84">
        <v>125</v>
      </c>
      <c r="CN26" s="84">
        <v>125</v>
      </c>
      <c r="CO26" s="84">
        <v>125</v>
      </c>
      <c r="CP26" s="84">
        <v>125</v>
      </c>
      <c r="CQ26" s="84">
        <v>125</v>
      </c>
      <c r="CR26" s="84">
        <v>125</v>
      </c>
      <c r="CS26" s="112">
        <v>40</v>
      </c>
      <c r="CT26" s="112">
        <v>30.399999999999999</v>
      </c>
      <c r="CU26" s="76" t="s">
        <v>175</v>
      </c>
      <c r="CW26" s="112">
        <v>32.5</v>
      </c>
      <c r="CX26" s="112">
        <v>25.899999999999999</v>
      </c>
      <c r="CY26" s="76" t="s">
        <v>175</v>
      </c>
      <c r="DA26" s="112">
        <v>83.799999999999997</v>
      </c>
      <c r="DB26" s="112">
        <v>25.5</v>
      </c>
      <c r="DC26" s="76" t="s">
        <v>175</v>
      </c>
      <c r="DE26" s="112">
        <v>227</v>
      </c>
      <c r="DF26" s="112">
        <v>24.199999999999999</v>
      </c>
      <c r="DG26" s="76" t="s">
        <v>175</v>
      </c>
      <c r="DI26" s="84">
        <v>140</v>
      </c>
      <c r="DJ26" s="84">
        <v>140</v>
      </c>
      <c r="DK26" s="84">
        <v>140</v>
      </c>
      <c r="DL26" s="84">
        <v>140</v>
      </c>
      <c r="DM26" s="84">
        <v>140</v>
      </c>
      <c r="DN26" s="84">
        <v>140</v>
      </c>
      <c r="DO26" s="84">
        <v>140</v>
      </c>
      <c r="DP26" s="84">
        <v>140</v>
      </c>
    </row>
    <row r="27" s="76" customFormat="1" ht="15.75" customHeight="1">
      <c r="A27" s="71">
        <v>2000000</v>
      </c>
      <c r="B27" s="72" t="s">
        <v>157</v>
      </c>
      <c r="C27" s="75" t="s">
        <v>158</v>
      </c>
      <c r="D27" s="71">
        <v>2200000</v>
      </c>
      <c r="E27" s="107" t="s">
        <v>159</v>
      </c>
      <c r="F27" s="108" t="s">
        <v>160</v>
      </c>
      <c r="G27" s="74"/>
      <c r="H27" s="74"/>
      <c r="I27" s="72"/>
      <c r="J27" s="72"/>
      <c r="L27" s="72" t="s">
        <v>186</v>
      </c>
      <c r="M27" s="107" t="s">
        <v>159</v>
      </c>
      <c r="N27" s="111"/>
      <c r="O27" s="110" t="s">
        <v>163</v>
      </c>
      <c r="T27" s="77"/>
      <c r="U27" s="76" t="s">
        <v>180</v>
      </c>
      <c r="V27" s="76" t="s">
        <v>181</v>
      </c>
      <c r="W27" s="76" t="s">
        <v>182</v>
      </c>
      <c r="X27" s="77" t="s">
        <v>167</v>
      </c>
      <c r="Y27" s="76" t="s">
        <v>168</v>
      </c>
      <c r="Z27" s="76" t="s">
        <v>169</v>
      </c>
      <c r="AD27" s="76" t="s">
        <v>170</v>
      </c>
      <c r="AE27" s="76" t="s">
        <v>171</v>
      </c>
      <c r="AF27" s="76" t="s">
        <v>171</v>
      </c>
      <c r="AG27" s="77" t="s">
        <v>184</v>
      </c>
      <c r="AH27" s="77"/>
      <c r="AI27" s="77"/>
      <c r="AJ27" s="77"/>
      <c r="AK27" s="77"/>
      <c r="AL27" s="76" t="s">
        <v>187</v>
      </c>
      <c r="AN27" s="99" t="s">
        <v>174</v>
      </c>
      <c r="AO27" s="76">
        <v>500</v>
      </c>
      <c r="AP27" s="82">
        <v>100000</v>
      </c>
      <c r="AQ27" s="86">
        <v>10.699999999999999</v>
      </c>
      <c r="AR27" s="76" t="s">
        <v>92</v>
      </c>
      <c r="AS27" s="84">
        <f t="shared" si="12"/>
        <v>396.375</v>
      </c>
      <c r="AT27" s="84">
        <f t="shared" si="13"/>
        <v>173.55000000000001</v>
      </c>
      <c r="AU27" s="85">
        <v>8</v>
      </c>
      <c r="AV27" s="85">
        <v>6</v>
      </c>
      <c r="AW27" s="86">
        <v>24</v>
      </c>
      <c r="AX27" s="84">
        <f t="shared" si="14"/>
        <v>408.375</v>
      </c>
      <c r="AY27" s="84">
        <f t="shared" si="15"/>
        <v>167.55000000000001</v>
      </c>
      <c r="AZ27" s="85">
        <v>8</v>
      </c>
      <c r="BA27" s="85">
        <v>6</v>
      </c>
      <c r="BB27" s="86">
        <v>15</v>
      </c>
      <c r="BC27" s="84">
        <f t="shared" si="16"/>
        <v>941.25</v>
      </c>
      <c r="BD27" s="84">
        <f t="shared" si="17"/>
        <v>113.97</v>
      </c>
      <c r="BE27" s="85">
        <v>9</v>
      </c>
      <c r="BF27" s="85">
        <v>7</v>
      </c>
      <c r="BG27" s="86">
        <v>12</v>
      </c>
      <c r="BH27" s="84">
        <f t="shared" si="18"/>
        <v>1175.01</v>
      </c>
      <c r="BI27" s="84">
        <f t="shared" si="19"/>
        <v>112.77</v>
      </c>
      <c r="BJ27" s="85">
        <v>13</v>
      </c>
      <c r="BK27" s="85">
        <v>10</v>
      </c>
      <c r="BL27" s="86">
        <v>14</v>
      </c>
      <c r="BM27" s="71">
        <v>4000</v>
      </c>
      <c r="BN27" s="84">
        <f t="shared" si="20"/>
        <v>1090.575</v>
      </c>
      <c r="BO27" s="71">
        <v>10000</v>
      </c>
      <c r="BP27" s="84">
        <f t="shared" si="21"/>
        <v>2083.875</v>
      </c>
      <c r="BQ27" s="71">
        <v>10000</v>
      </c>
      <c r="BR27" s="84">
        <f t="shared" si="22"/>
        <v>2080.9499999999998</v>
      </c>
      <c r="BS27" s="71">
        <v>51000</v>
      </c>
      <c r="BT27" s="84">
        <f t="shared" si="23"/>
        <v>6926.2800000000007</v>
      </c>
      <c r="BU27" s="84">
        <v>133.5</v>
      </c>
      <c r="BV27" s="84">
        <v>50.039999999999999</v>
      </c>
      <c r="BY27" s="84">
        <v>133.5</v>
      </c>
      <c r="BZ27" s="84">
        <v>50.039999999999999</v>
      </c>
      <c r="CC27" s="84">
        <v>325</v>
      </c>
      <c r="CD27" s="84">
        <v>29</v>
      </c>
      <c r="CG27" s="84">
        <v>325</v>
      </c>
      <c r="CH27" s="84">
        <v>29</v>
      </c>
      <c r="CK27" s="84">
        <v>125</v>
      </c>
      <c r="CL27" s="84">
        <v>125</v>
      </c>
      <c r="CM27" s="84">
        <v>125</v>
      </c>
      <c r="CN27" s="84">
        <v>125</v>
      </c>
      <c r="CO27" s="84">
        <v>125</v>
      </c>
      <c r="CP27" s="84">
        <v>125</v>
      </c>
      <c r="CQ27" s="84">
        <v>125</v>
      </c>
      <c r="CR27" s="84">
        <v>125</v>
      </c>
      <c r="CS27" s="112">
        <v>40</v>
      </c>
      <c r="CT27" s="112">
        <v>25.399999999999999</v>
      </c>
      <c r="CU27" s="76" t="s">
        <v>175</v>
      </c>
      <c r="CW27" s="112">
        <v>45</v>
      </c>
      <c r="CX27" s="112">
        <v>22.899999999999999</v>
      </c>
      <c r="CY27" s="76" t="s">
        <v>175</v>
      </c>
      <c r="DA27" s="112">
        <v>87.5</v>
      </c>
      <c r="DB27" s="112">
        <v>20.300000000000001</v>
      </c>
      <c r="DC27" s="76" t="s">
        <v>175</v>
      </c>
      <c r="DE27" s="112">
        <v>184.90000000000001</v>
      </c>
      <c r="DF27" s="112">
        <v>19.800000000000001</v>
      </c>
      <c r="DG27" s="76" t="s">
        <v>175</v>
      </c>
      <c r="DI27" s="84">
        <v>140</v>
      </c>
      <c r="DJ27" s="84">
        <v>140</v>
      </c>
      <c r="DK27" s="84">
        <v>140</v>
      </c>
      <c r="DL27" s="84">
        <v>140</v>
      </c>
      <c r="DM27" s="84">
        <v>140</v>
      </c>
      <c r="DN27" s="84">
        <v>140</v>
      </c>
      <c r="DO27" s="84">
        <v>140</v>
      </c>
      <c r="DP27" s="84">
        <v>140</v>
      </c>
    </row>
    <row r="28" s="76" customFormat="1" ht="15.75" customHeight="1">
      <c r="A28" s="71">
        <v>2000000</v>
      </c>
      <c r="B28" s="72" t="s">
        <v>157</v>
      </c>
      <c r="C28" s="75" t="s">
        <v>158</v>
      </c>
      <c r="D28" s="71">
        <v>2200000</v>
      </c>
      <c r="E28" s="107" t="s">
        <v>159</v>
      </c>
      <c r="F28" s="108" t="s">
        <v>160</v>
      </c>
      <c r="G28" s="74"/>
      <c r="H28" s="74"/>
      <c r="I28" s="72"/>
      <c r="J28" s="72"/>
      <c r="L28" s="72" t="s">
        <v>188</v>
      </c>
      <c r="M28" s="107" t="s">
        <v>159</v>
      </c>
      <c r="N28" s="111"/>
      <c r="O28" s="110" t="s">
        <v>163</v>
      </c>
      <c r="T28" s="77"/>
      <c r="U28" s="76" t="s">
        <v>180</v>
      </c>
      <c r="V28" s="76" t="s">
        <v>181</v>
      </c>
      <c r="W28" s="76" t="s">
        <v>182</v>
      </c>
      <c r="X28" s="77" t="s">
        <v>167</v>
      </c>
      <c r="Y28" s="76" t="s">
        <v>177</v>
      </c>
      <c r="Z28" s="76" t="s">
        <v>169</v>
      </c>
      <c r="AD28" s="76" t="s">
        <v>170</v>
      </c>
      <c r="AE28" s="76" t="s">
        <v>171</v>
      </c>
      <c r="AF28" s="76" t="s">
        <v>171</v>
      </c>
      <c r="AG28" s="77" t="s">
        <v>184</v>
      </c>
      <c r="AH28" s="77"/>
      <c r="AI28" s="77"/>
      <c r="AJ28" s="77"/>
      <c r="AK28" s="77"/>
      <c r="AL28" s="111" t="s">
        <v>173</v>
      </c>
      <c r="AN28" s="99" t="s">
        <v>174</v>
      </c>
      <c r="AO28" s="76">
        <v>500</v>
      </c>
      <c r="AP28" s="82">
        <v>100000</v>
      </c>
      <c r="AQ28" s="86">
        <v>16</v>
      </c>
      <c r="AR28" s="76" t="s">
        <v>92</v>
      </c>
      <c r="AS28" s="84">
        <f t="shared" si="12"/>
        <v>322.5</v>
      </c>
      <c r="AT28" s="84">
        <f t="shared" si="13"/>
        <v>197.3175</v>
      </c>
      <c r="AU28" s="85">
        <v>7</v>
      </c>
      <c r="AV28" s="85">
        <v>5</v>
      </c>
      <c r="AW28" s="86">
        <v>24</v>
      </c>
      <c r="AX28" s="84">
        <f t="shared" si="14"/>
        <v>299.46000000000004</v>
      </c>
      <c r="AY28" s="84">
        <f t="shared" si="15"/>
        <v>188.19749999999999</v>
      </c>
      <c r="AZ28" s="85">
        <v>7</v>
      </c>
      <c r="BA28" s="85">
        <v>5</v>
      </c>
      <c r="BB28" s="86">
        <v>15</v>
      </c>
      <c r="BC28" s="84">
        <f t="shared" si="16"/>
        <v>1026.3299999999999</v>
      </c>
      <c r="BD28" s="84">
        <f t="shared" si="17"/>
        <v>128.99250000000001</v>
      </c>
      <c r="BE28" s="85">
        <v>8</v>
      </c>
      <c r="BF28" s="85">
        <v>6</v>
      </c>
      <c r="BG28" s="86">
        <v>12</v>
      </c>
      <c r="BH28" s="84">
        <f t="shared" si="18"/>
        <v>1418.49</v>
      </c>
      <c r="BI28" s="84">
        <f t="shared" si="19"/>
        <v>128.27249999999998</v>
      </c>
      <c r="BJ28" s="85">
        <v>12</v>
      </c>
      <c r="BK28" s="85">
        <v>9</v>
      </c>
      <c r="BL28" s="86">
        <v>14</v>
      </c>
      <c r="BM28" s="71">
        <v>4000</v>
      </c>
      <c r="BN28" s="84">
        <f t="shared" si="20"/>
        <v>1111.77</v>
      </c>
      <c r="BO28" s="71">
        <v>10000</v>
      </c>
      <c r="BP28" s="84">
        <f t="shared" si="21"/>
        <v>2181.4349999999999</v>
      </c>
      <c r="BQ28" s="71">
        <v>10000</v>
      </c>
      <c r="BR28" s="84">
        <f t="shared" si="22"/>
        <v>2316.2550000000001</v>
      </c>
      <c r="BS28" s="71">
        <v>51000</v>
      </c>
      <c r="BT28" s="84">
        <f t="shared" si="23"/>
        <v>7960.3874999999989</v>
      </c>
      <c r="BU28" s="84">
        <v>90</v>
      </c>
      <c r="BV28" s="84">
        <v>45.030000000000001</v>
      </c>
      <c r="BY28" s="84">
        <v>90</v>
      </c>
      <c r="BZ28" s="84">
        <v>45.030000000000001</v>
      </c>
      <c r="CC28" s="84">
        <v>305</v>
      </c>
      <c r="CD28" s="84">
        <v>24.050000000000001</v>
      </c>
      <c r="CG28" s="84">
        <v>305</v>
      </c>
      <c r="CH28" s="84">
        <v>24.050000000000001</v>
      </c>
      <c r="CK28" s="84">
        <v>125</v>
      </c>
      <c r="CL28" s="84">
        <v>125</v>
      </c>
      <c r="CM28" s="84">
        <v>125</v>
      </c>
      <c r="CN28" s="84">
        <v>125</v>
      </c>
      <c r="CO28" s="84">
        <v>125</v>
      </c>
      <c r="CP28" s="84">
        <v>125</v>
      </c>
      <c r="CQ28" s="84">
        <v>125</v>
      </c>
      <c r="CR28" s="84">
        <v>125</v>
      </c>
      <c r="CS28" s="112">
        <v>50</v>
      </c>
      <c r="CT28" s="112">
        <v>40</v>
      </c>
      <c r="CU28" s="76" t="s">
        <v>175</v>
      </c>
      <c r="CW28" s="112">
        <v>40.399999999999999</v>
      </c>
      <c r="CX28" s="112">
        <v>36.200000000000003</v>
      </c>
      <c r="CY28" s="76" t="s">
        <v>175</v>
      </c>
      <c r="DA28" s="112">
        <v>141.69999999999999</v>
      </c>
      <c r="DB28" s="112">
        <v>31.199999999999999</v>
      </c>
      <c r="DC28" s="76" t="s">
        <v>175</v>
      </c>
      <c r="DE28" s="112">
        <v>305.10000000000002</v>
      </c>
      <c r="DF28" s="112">
        <v>30.899999999999999</v>
      </c>
      <c r="DG28" s="76" t="s">
        <v>175</v>
      </c>
      <c r="DI28" s="84">
        <v>140</v>
      </c>
      <c r="DJ28" s="84">
        <v>140</v>
      </c>
      <c r="DK28" s="84">
        <v>140</v>
      </c>
      <c r="DL28" s="84">
        <v>140</v>
      </c>
      <c r="DM28" s="84">
        <v>140</v>
      </c>
      <c r="DN28" s="84">
        <v>140</v>
      </c>
      <c r="DO28" s="84">
        <v>140</v>
      </c>
      <c r="DP28" s="84">
        <v>140</v>
      </c>
    </row>
    <row r="29" s="76" customFormat="1" ht="15.75" customHeight="1">
      <c r="A29" s="71">
        <v>2000000</v>
      </c>
      <c r="B29" s="72" t="s">
        <v>157</v>
      </c>
      <c r="C29" s="75" t="s">
        <v>158</v>
      </c>
      <c r="D29" s="71">
        <v>2200000</v>
      </c>
      <c r="E29" s="107" t="s">
        <v>159</v>
      </c>
      <c r="F29" s="108" t="s">
        <v>160</v>
      </c>
      <c r="G29" s="74"/>
      <c r="H29" s="74"/>
      <c r="I29" s="72"/>
      <c r="J29" s="72"/>
      <c r="L29" s="72" t="s">
        <v>189</v>
      </c>
      <c r="M29" s="107" t="s">
        <v>159</v>
      </c>
      <c r="N29" s="111"/>
      <c r="O29" s="110" t="s">
        <v>163</v>
      </c>
      <c r="T29" s="77"/>
      <c r="U29" s="76" t="s">
        <v>180</v>
      </c>
      <c r="V29" s="76" t="s">
        <v>181</v>
      </c>
      <c r="W29" s="76" t="s">
        <v>182</v>
      </c>
      <c r="X29" s="77" t="s">
        <v>167</v>
      </c>
      <c r="Y29" s="76" t="s">
        <v>177</v>
      </c>
      <c r="Z29" s="76" t="s">
        <v>169</v>
      </c>
      <c r="AD29" s="76" t="s">
        <v>170</v>
      </c>
      <c r="AE29" s="76" t="s">
        <v>171</v>
      </c>
      <c r="AF29" s="76" t="s">
        <v>171</v>
      </c>
      <c r="AG29" s="77" t="s">
        <v>184</v>
      </c>
      <c r="AH29" s="77"/>
      <c r="AI29" s="77"/>
      <c r="AJ29" s="77"/>
      <c r="AK29" s="77"/>
      <c r="AL29" s="76" t="s">
        <v>187</v>
      </c>
      <c r="AN29" s="99" t="s">
        <v>174</v>
      </c>
      <c r="AO29" s="76">
        <v>500</v>
      </c>
      <c r="AP29" s="82">
        <v>100000</v>
      </c>
      <c r="AQ29" s="86">
        <v>16</v>
      </c>
      <c r="AR29" s="76" t="s">
        <v>92</v>
      </c>
      <c r="AS29" s="84">
        <f t="shared" si="12"/>
        <v>418.875</v>
      </c>
      <c r="AT29" s="84">
        <f t="shared" si="13"/>
        <v>192.75</v>
      </c>
      <c r="AU29" s="85">
        <v>8</v>
      </c>
      <c r="AV29" s="85">
        <v>6</v>
      </c>
      <c r="AW29" s="86">
        <v>24</v>
      </c>
      <c r="AX29" s="84">
        <f t="shared" si="14"/>
        <v>490.875</v>
      </c>
      <c r="AY29" s="84">
        <f t="shared" si="15"/>
        <v>182.19</v>
      </c>
      <c r="AZ29" s="85">
        <v>8</v>
      </c>
      <c r="BA29" s="85">
        <v>6</v>
      </c>
      <c r="BB29" s="86">
        <v>15</v>
      </c>
      <c r="BC29" s="84">
        <f t="shared" si="16"/>
        <v>1005.33</v>
      </c>
      <c r="BD29" s="84">
        <f t="shared" si="17"/>
        <v>132.44999999999999</v>
      </c>
      <c r="BE29" s="85">
        <v>9</v>
      </c>
      <c r="BF29" s="85">
        <v>7</v>
      </c>
      <c r="BG29" s="86">
        <v>12</v>
      </c>
      <c r="BH29" s="84">
        <f t="shared" si="18"/>
        <v>1453.8899999999999</v>
      </c>
      <c r="BI29" s="84">
        <f t="shared" si="19"/>
        <v>128.13</v>
      </c>
      <c r="BJ29" s="85">
        <v>13</v>
      </c>
      <c r="BK29" s="85">
        <v>10</v>
      </c>
      <c r="BL29" s="86">
        <v>14</v>
      </c>
      <c r="BM29" s="71">
        <v>4000</v>
      </c>
      <c r="BN29" s="84">
        <f t="shared" si="20"/>
        <v>1189.875</v>
      </c>
      <c r="BO29" s="71">
        <v>10000</v>
      </c>
      <c r="BP29" s="84">
        <f t="shared" si="21"/>
        <v>2312.7750000000001</v>
      </c>
      <c r="BQ29" s="71">
        <v>10000</v>
      </c>
      <c r="BR29" s="84">
        <f t="shared" si="22"/>
        <v>2329.8299999999999</v>
      </c>
      <c r="BS29" s="71">
        <v>51000</v>
      </c>
      <c r="BT29" s="84">
        <f t="shared" si="23"/>
        <v>7988.5200000000004</v>
      </c>
      <c r="BU29" s="84">
        <v>143.5</v>
      </c>
      <c r="BV29" s="84">
        <v>50.039999999999999</v>
      </c>
      <c r="BY29" s="84">
        <v>143.5</v>
      </c>
      <c r="BZ29" s="84">
        <v>50.039999999999999</v>
      </c>
      <c r="CC29" s="84">
        <v>325</v>
      </c>
      <c r="CD29" s="84">
        <v>29</v>
      </c>
      <c r="CG29" s="84">
        <v>325</v>
      </c>
      <c r="CH29" s="84">
        <v>29</v>
      </c>
      <c r="CK29" s="84">
        <v>125</v>
      </c>
      <c r="CL29" s="84">
        <v>125</v>
      </c>
      <c r="CM29" s="84">
        <v>125</v>
      </c>
      <c r="CN29" s="84">
        <v>125</v>
      </c>
      <c r="CO29" s="84">
        <v>125</v>
      </c>
      <c r="CP29" s="84">
        <v>125</v>
      </c>
      <c r="CQ29" s="84">
        <v>125</v>
      </c>
      <c r="CR29" s="84">
        <v>125</v>
      </c>
      <c r="CS29" s="112">
        <v>40</v>
      </c>
      <c r="CT29" s="112">
        <v>33.399999999999999</v>
      </c>
      <c r="CU29" s="76" t="s">
        <v>175</v>
      </c>
      <c r="CW29" s="112">
        <v>70</v>
      </c>
      <c r="CX29" s="112">
        <v>29</v>
      </c>
      <c r="CY29" s="76" t="s">
        <v>175</v>
      </c>
      <c r="DA29" s="112">
        <v>114.2</v>
      </c>
      <c r="DB29" s="112">
        <v>28</v>
      </c>
      <c r="DC29" s="76" t="s">
        <v>175</v>
      </c>
      <c r="DE29" s="112">
        <v>301.10000000000002</v>
      </c>
      <c r="DF29" s="112">
        <v>26.199999999999999</v>
      </c>
      <c r="DG29" s="76" t="s">
        <v>175</v>
      </c>
      <c r="DI29" s="84">
        <v>140</v>
      </c>
      <c r="DJ29" s="84">
        <v>140</v>
      </c>
      <c r="DK29" s="84">
        <v>140</v>
      </c>
      <c r="DL29" s="84">
        <v>140</v>
      </c>
      <c r="DM29" s="84">
        <v>140</v>
      </c>
      <c r="DN29" s="84">
        <v>140</v>
      </c>
      <c r="DO29" s="84">
        <v>140</v>
      </c>
      <c r="DP29" s="84">
        <v>140</v>
      </c>
    </row>
    <row r="30" s="76" customFormat="1" ht="15.75" customHeight="1">
      <c r="A30" s="71">
        <v>2000000</v>
      </c>
      <c r="B30" s="72" t="s">
        <v>157</v>
      </c>
      <c r="C30" s="75" t="s">
        <v>158</v>
      </c>
      <c r="D30" s="71">
        <v>2200000</v>
      </c>
      <c r="E30" s="107" t="s">
        <v>159</v>
      </c>
      <c r="F30" s="108" t="s">
        <v>160</v>
      </c>
      <c r="G30" s="74"/>
      <c r="H30" s="74"/>
      <c r="I30" s="72"/>
      <c r="J30" s="72"/>
      <c r="L30" s="72" t="s">
        <v>190</v>
      </c>
      <c r="M30" s="107" t="s">
        <v>159</v>
      </c>
      <c r="N30" s="109" t="s">
        <v>191</v>
      </c>
      <c r="O30" s="110" t="s">
        <v>163</v>
      </c>
      <c r="T30" s="77"/>
      <c r="U30" s="76" t="s">
        <v>180</v>
      </c>
      <c r="V30" s="76" t="s">
        <v>192</v>
      </c>
      <c r="W30" s="76" t="s">
        <v>193</v>
      </c>
      <c r="X30" s="77" t="s">
        <v>167</v>
      </c>
      <c r="Y30" s="76" t="s">
        <v>183</v>
      </c>
      <c r="Z30" s="76" t="s">
        <v>169</v>
      </c>
      <c r="AD30" s="76" t="s">
        <v>170</v>
      </c>
      <c r="AE30" s="76" t="s">
        <v>171</v>
      </c>
      <c r="AF30" s="76" t="s">
        <v>171</v>
      </c>
      <c r="AG30" s="77" t="s">
        <v>184</v>
      </c>
      <c r="AH30" s="77"/>
      <c r="AI30" s="77"/>
      <c r="AJ30" s="77"/>
      <c r="AK30" s="77"/>
      <c r="AL30" s="111" t="s">
        <v>173</v>
      </c>
      <c r="AN30" s="99" t="s">
        <v>174</v>
      </c>
      <c r="AO30" s="76">
        <v>500</v>
      </c>
      <c r="AP30" s="82">
        <v>100000</v>
      </c>
      <c r="AQ30" s="86">
        <v>11.199999999999999</v>
      </c>
      <c r="AR30" s="76" t="s">
        <v>92</v>
      </c>
      <c r="AS30" s="84">
        <f t="shared" si="12"/>
        <v>308.10000000000002</v>
      </c>
      <c r="AT30" s="84">
        <f t="shared" si="13"/>
        <v>183.63750000000002</v>
      </c>
      <c r="AU30" s="85">
        <v>7</v>
      </c>
      <c r="AV30" s="85">
        <v>5</v>
      </c>
      <c r="AW30" s="86">
        <v>24</v>
      </c>
      <c r="AX30" s="84">
        <f t="shared" si="14"/>
        <v>294.66000000000003</v>
      </c>
      <c r="AY30" s="84">
        <f t="shared" si="15"/>
        <v>169.7175</v>
      </c>
      <c r="AZ30" s="85">
        <v>7</v>
      </c>
      <c r="BA30" s="85">
        <v>5</v>
      </c>
      <c r="BB30" s="86">
        <v>15</v>
      </c>
      <c r="BC30" s="84">
        <f t="shared" si="16"/>
        <v>1133.3699999999999</v>
      </c>
      <c r="BD30" s="84">
        <f t="shared" si="17"/>
        <v>117.23249999999999</v>
      </c>
      <c r="BE30" s="85">
        <v>8</v>
      </c>
      <c r="BF30" s="85">
        <v>6</v>
      </c>
      <c r="BG30" s="86">
        <v>12</v>
      </c>
      <c r="BH30" s="84">
        <f t="shared" si="18"/>
        <v>1556.4899999999998</v>
      </c>
      <c r="BI30" s="84">
        <f t="shared" si="19"/>
        <v>120.1125</v>
      </c>
      <c r="BJ30" s="85">
        <v>12</v>
      </c>
      <c r="BK30" s="85">
        <v>9</v>
      </c>
      <c r="BL30" s="86">
        <v>14</v>
      </c>
      <c r="BM30" s="71">
        <v>4000</v>
      </c>
      <c r="BN30" s="84">
        <f t="shared" si="20"/>
        <v>1042.6500000000001</v>
      </c>
      <c r="BO30" s="71">
        <v>10000</v>
      </c>
      <c r="BP30" s="84">
        <f t="shared" si="21"/>
        <v>1991.835</v>
      </c>
      <c r="BQ30" s="71">
        <v>10000</v>
      </c>
      <c r="BR30" s="84">
        <f t="shared" si="22"/>
        <v>2305.6949999999997</v>
      </c>
      <c r="BS30" s="71">
        <v>60000</v>
      </c>
      <c r="BT30" s="84">
        <f t="shared" si="23"/>
        <v>8763.2399999999998</v>
      </c>
      <c r="BU30" s="84">
        <v>90</v>
      </c>
      <c r="BV30" s="84">
        <v>45.030000000000001</v>
      </c>
      <c r="BY30" s="84">
        <v>90</v>
      </c>
      <c r="BZ30" s="84">
        <v>45.030000000000001</v>
      </c>
      <c r="CC30" s="84">
        <v>305</v>
      </c>
      <c r="CD30" s="84">
        <v>24.050000000000001</v>
      </c>
      <c r="CG30" s="84">
        <v>305</v>
      </c>
      <c r="CH30" s="84">
        <v>24.050000000000001</v>
      </c>
      <c r="CK30" s="84">
        <v>125</v>
      </c>
      <c r="CL30" s="84">
        <v>125</v>
      </c>
      <c r="CM30" s="84">
        <v>125</v>
      </c>
      <c r="CN30" s="84">
        <v>125</v>
      </c>
      <c r="CO30" s="84">
        <v>125</v>
      </c>
      <c r="CP30" s="84">
        <v>125</v>
      </c>
      <c r="CQ30" s="84">
        <v>125</v>
      </c>
      <c r="CR30" s="84">
        <v>125</v>
      </c>
      <c r="CS30" s="112">
        <v>44</v>
      </c>
      <c r="CT30" s="112">
        <v>34.299999999999997</v>
      </c>
      <c r="CU30" s="76" t="s">
        <v>175</v>
      </c>
      <c r="CW30" s="112">
        <v>38.399999999999999</v>
      </c>
      <c r="CX30" s="112">
        <v>28.5</v>
      </c>
      <c r="CY30" s="76" t="s">
        <v>175</v>
      </c>
      <c r="DA30" s="112">
        <v>186.30000000000001</v>
      </c>
      <c r="DB30" s="112">
        <v>26.300000000000001</v>
      </c>
      <c r="DC30" s="76" t="s">
        <v>175</v>
      </c>
      <c r="DE30" s="112">
        <v>362.60000000000002</v>
      </c>
      <c r="DF30" s="112">
        <v>27.5</v>
      </c>
      <c r="DG30" s="76" t="s">
        <v>175</v>
      </c>
      <c r="DI30" s="84">
        <v>140</v>
      </c>
      <c r="DJ30" s="84">
        <v>140</v>
      </c>
      <c r="DK30" s="84">
        <v>140</v>
      </c>
      <c r="DL30" s="84">
        <v>140</v>
      </c>
      <c r="DM30" s="84">
        <v>140</v>
      </c>
      <c r="DN30" s="84">
        <v>140</v>
      </c>
      <c r="DO30" s="84">
        <v>140</v>
      </c>
      <c r="DP30" s="84">
        <v>140</v>
      </c>
    </row>
    <row r="31" s="76" customFormat="1" ht="15.75" customHeight="1">
      <c r="A31" s="71">
        <v>2000000</v>
      </c>
      <c r="B31" s="72" t="s">
        <v>157</v>
      </c>
      <c r="C31" s="75" t="s">
        <v>158</v>
      </c>
      <c r="D31" s="71">
        <v>2200000</v>
      </c>
      <c r="E31" s="107" t="s">
        <v>159</v>
      </c>
      <c r="F31" s="108" t="s">
        <v>160</v>
      </c>
      <c r="G31" s="74"/>
      <c r="H31" s="74"/>
      <c r="I31" s="72"/>
      <c r="J31" s="72"/>
      <c r="L31" s="72" t="s">
        <v>194</v>
      </c>
      <c r="M31" s="107" t="s">
        <v>159</v>
      </c>
      <c r="N31" s="111"/>
      <c r="O31" s="110" t="s">
        <v>163</v>
      </c>
      <c r="T31" s="77"/>
      <c r="U31" s="76" t="s">
        <v>180</v>
      </c>
      <c r="V31" s="76" t="s">
        <v>192</v>
      </c>
      <c r="W31" s="76" t="s">
        <v>193</v>
      </c>
      <c r="X31" s="77" t="s">
        <v>167</v>
      </c>
      <c r="Y31" s="76" t="s">
        <v>168</v>
      </c>
      <c r="Z31" s="76" t="s">
        <v>169</v>
      </c>
      <c r="AD31" s="76" t="s">
        <v>170</v>
      </c>
      <c r="AE31" s="76" t="s">
        <v>171</v>
      </c>
      <c r="AF31" s="76" t="s">
        <v>171</v>
      </c>
      <c r="AG31" s="77" t="s">
        <v>184</v>
      </c>
      <c r="AH31" s="77"/>
      <c r="AI31" s="77"/>
      <c r="AJ31" s="77"/>
      <c r="AK31" s="77"/>
      <c r="AL31" s="111" t="s">
        <v>173</v>
      </c>
      <c r="AN31" s="99" t="s">
        <v>174</v>
      </c>
      <c r="AO31" s="76">
        <v>500</v>
      </c>
      <c r="AP31" s="82">
        <v>100000</v>
      </c>
      <c r="AQ31" s="86">
        <v>14.1</v>
      </c>
      <c r="AR31" s="76" t="s">
        <v>92</v>
      </c>
      <c r="AS31" s="84">
        <f t="shared" si="12"/>
        <v>334.5</v>
      </c>
      <c r="AT31" s="84">
        <f t="shared" si="13"/>
        <v>206.67750000000001</v>
      </c>
      <c r="AU31" s="85">
        <v>7</v>
      </c>
      <c r="AV31" s="85">
        <v>5</v>
      </c>
      <c r="AW31" s="86">
        <v>24</v>
      </c>
      <c r="AX31" s="84">
        <f t="shared" si="14"/>
        <v>315.30000000000001</v>
      </c>
      <c r="AY31" s="84">
        <f t="shared" si="15"/>
        <v>191.07749999999999</v>
      </c>
      <c r="AZ31" s="85">
        <v>7</v>
      </c>
      <c r="BA31" s="85">
        <v>5</v>
      </c>
      <c r="BB31" s="86">
        <v>15</v>
      </c>
      <c r="BC31" s="84">
        <f t="shared" si="16"/>
        <v>1104.3299999999999</v>
      </c>
      <c r="BD31" s="84">
        <f t="shared" si="17"/>
        <v>133.3125</v>
      </c>
      <c r="BE31" s="85">
        <v>8</v>
      </c>
      <c r="BF31" s="85">
        <v>6</v>
      </c>
      <c r="BG31" s="86">
        <v>12</v>
      </c>
      <c r="BH31" s="84">
        <f t="shared" si="18"/>
        <v>1709.8499999999999</v>
      </c>
      <c r="BI31" s="84">
        <f t="shared" si="19"/>
        <v>134.51249999999999</v>
      </c>
      <c r="BJ31" s="85">
        <v>12</v>
      </c>
      <c r="BK31" s="85">
        <v>9</v>
      </c>
      <c r="BL31" s="86">
        <v>14</v>
      </c>
      <c r="BM31" s="71">
        <v>4000</v>
      </c>
      <c r="BN31" s="84">
        <f t="shared" si="20"/>
        <v>1161.21</v>
      </c>
      <c r="BO31" s="71">
        <v>10000</v>
      </c>
      <c r="BP31" s="84">
        <f t="shared" si="21"/>
        <v>2226.0749999999998</v>
      </c>
      <c r="BQ31" s="71">
        <v>10000</v>
      </c>
      <c r="BR31" s="84">
        <f t="shared" si="22"/>
        <v>2437.4549999999999</v>
      </c>
      <c r="BS31" s="71">
        <v>60000</v>
      </c>
      <c r="BT31" s="84">
        <f t="shared" si="23"/>
        <v>9780.5999999999985</v>
      </c>
      <c r="BU31" s="84">
        <v>90</v>
      </c>
      <c r="BV31" s="84">
        <v>45.030000000000001</v>
      </c>
      <c r="BY31" s="84">
        <v>90</v>
      </c>
      <c r="BZ31" s="84">
        <v>45.030000000000001</v>
      </c>
      <c r="CC31" s="84">
        <v>305</v>
      </c>
      <c r="CD31" s="84">
        <v>24.050000000000001</v>
      </c>
      <c r="CG31" s="84">
        <v>305</v>
      </c>
      <c r="CH31" s="84">
        <v>24.050000000000001</v>
      </c>
      <c r="CK31" s="84">
        <v>125</v>
      </c>
      <c r="CL31" s="84">
        <v>125</v>
      </c>
      <c r="CM31" s="84">
        <v>125</v>
      </c>
      <c r="CN31" s="84">
        <v>125</v>
      </c>
      <c r="CO31" s="84">
        <v>125</v>
      </c>
      <c r="CP31" s="84">
        <v>125</v>
      </c>
      <c r="CQ31" s="84">
        <v>125</v>
      </c>
      <c r="CR31" s="84">
        <v>125</v>
      </c>
      <c r="CS31" s="112">
        <v>55</v>
      </c>
      <c r="CT31" s="112">
        <v>43.899999999999999</v>
      </c>
      <c r="CU31" s="76" t="s">
        <v>175</v>
      </c>
      <c r="CW31" s="112">
        <v>47</v>
      </c>
      <c r="CX31" s="112">
        <v>37.399999999999999</v>
      </c>
      <c r="CY31" s="76" t="s">
        <v>175</v>
      </c>
      <c r="DA31" s="112">
        <v>174.19999999999999</v>
      </c>
      <c r="DB31" s="112">
        <v>33</v>
      </c>
      <c r="DC31" s="76" t="s">
        <v>175</v>
      </c>
      <c r="DE31" s="112">
        <v>426.5</v>
      </c>
      <c r="DF31" s="112">
        <v>33.5</v>
      </c>
      <c r="DG31" s="76" t="s">
        <v>175</v>
      </c>
      <c r="DI31" s="84">
        <v>140</v>
      </c>
      <c r="DJ31" s="84">
        <v>140</v>
      </c>
      <c r="DK31" s="84">
        <v>140</v>
      </c>
      <c r="DL31" s="84">
        <v>140</v>
      </c>
      <c r="DM31" s="84">
        <v>140</v>
      </c>
      <c r="DN31" s="84">
        <v>140</v>
      </c>
      <c r="DO31" s="84">
        <v>140</v>
      </c>
      <c r="DP31" s="84">
        <v>140</v>
      </c>
    </row>
    <row r="32" s="76" customFormat="1" ht="15.75" customHeight="1">
      <c r="A32" s="71">
        <v>2000000</v>
      </c>
      <c r="B32" s="72" t="s">
        <v>157</v>
      </c>
      <c r="C32" s="75" t="s">
        <v>158</v>
      </c>
      <c r="D32" s="71">
        <v>2200000</v>
      </c>
      <c r="E32" s="107" t="s">
        <v>159</v>
      </c>
      <c r="F32" s="108" t="s">
        <v>160</v>
      </c>
      <c r="G32" s="74"/>
      <c r="H32" s="74"/>
      <c r="I32" s="72"/>
      <c r="J32" s="72"/>
      <c r="L32" s="72" t="s">
        <v>195</v>
      </c>
      <c r="M32" s="107" t="s">
        <v>159</v>
      </c>
      <c r="N32" s="111"/>
      <c r="O32" s="110" t="s">
        <v>163</v>
      </c>
      <c r="T32" s="77"/>
      <c r="U32" s="76" t="s">
        <v>180</v>
      </c>
      <c r="V32" s="76" t="s">
        <v>192</v>
      </c>
      <c r="W32" s="76" t="s">
        <v>193</v>
      </c>
      <c r="X32" s="77" t="s">
        <v>167</v>
      </c>
      <c r="Y32" s="76" t="s">
        <v>168</v>
      </c>
      <c r="Z32" s="76" t="s">
        <v>169</v>
      </c>
      <c r="AD32" s="76" t="s">
        <v>170</v>
      </c>
      <c r="AE32" s="76" t="s">
        <v>171</v>
      </c>
      <c r="AF32" s="76" t="s">
        <v>171</v>
      </c>
      <c r="AG32" s="77" t="s">
        <v>184</v>
      </c>
      <c r="AH32" s="77"/>
      <c r="AI32" s="77"/>
      <c r="AJ32" s="77"/>
      <c r="AK32" s="77"/>
      <c r="AL32" s="76" t="s">
        <v>187</v>
      </c>
      <c r="AN32" s="99" t="s">
        <v>174</v>
      </c>
      <c r="AO32" s="76">
        <v>500</v>
      </c>
      <c r="AP32" s="82">
        <v>100000</v>
      </c>
      <c r="AQ32" s="86">
        <v>14.1</v>
      </c>
      <c r="AR32" s="76" t="s">
        <v>92</v>
      </c>
      <c r="AS32" s="84">
        <f t="shared" si="12"/>
        <v>494.25</v>
      </c>
      <c r="AT32" s="84">
        <f t="shared" si="13"/>
        <v>243.67500000000001</v>
      </c>
      <c r="AU32" s="85">
        <v>8</v>
      </c>
      <c r="AV32" s="85">
        <v>6</v>
      </c>
      <c r="AW32" s="86">
        <v>24</v>
      </c>
      <c r="AX32" s="84">
        <f t="shared" si="14"/>
        <v>539.61000000000001</v>
      </c>
      <c r="AY32" s="84">
        <f t="shared" si="15"/>
        <v>229.755</v>
      </c>
      <c r="AZ32" s="85">
        <v>8</v>
      </c>
      <c r="BA32" s="85">
        <v>6</v>
      </c>
      <c r="BB32" s="86">
        <v>15</v>
      </c>
      <c r="BC32" s="84">
        <f t="shared" si="16"/>
        <v>1151.25</v>
      </c>
      <c r="BD32" s="84">
        <f t="shared" si="17"/>
        <v>166.05000000000001</v>
      </c>
      <c r="BE32" s="85">
        <v>9</v>
      </c>
      <c r="BF32" s="85">
        <v>7</v>
      </c>
      <c r="BG32" s="86">
        <v>12</v>
      </c>
      <c r="BH32" s="84">
        <f t="shared" si="18"/>
        <v>1600.77</v>
      </c>
      <c r="BI32" s="84">
        <f t="shared" si="19"/>
        <v>163.65000000000001</v>
      </c>
      <c r="BJ32" s="85">
        <v>13</v>
      </c>
      <c r="BK32" s="85">
        <v>10</v>
      </c>
      <c r="BL32" s="86">
        <v>14</v>
      </c>
      <c r="BM32" s="71">
        <v>4000</v>
      </c>
      <c r="BN32" s="84">
        <f t="shared" si="20"/>
        <v>1468.95</v>
      </c>
      <c r="BO32" s="71">
        <v>10000</v>
      </c>
      <c r="BP32" s="84">
        <f t="shared" si="21"/>
        <v>2837.1600000000003</v>
      </c>
      <c r="BQ32" s="71">
        <v>10000</v>
      </c>
      <c r="BR32" s="84">
        <f t="shared" si="22"/>
        <v>2811.75</v>
      </c>
      <c r="BS32" s="71">
        <v>60000</v>
      </c>
      <c r="BT32" s="84">
        <f t="shared" si="23"/>
        <v>11419.77</v>
      </c>
      <c r="BU32" s="84">
        <v>145</v>
      </c>
      <c r="BV32" s="84">
        <v>52.299999999999997</v>
      </c>
      <c r="BY32" s="84">
        <v>145</v>
      </c>
      <c r="BZ32" s="84">
        <v>52.299999999999997</v>
      </c>
      <c r="CC32" s="84">
        <v>325</v>
      </c>
      <c r="CD32" s="84">
        <v>29</v>
      </c>
      <c r="CG32" s="84">
        <v>325</v>
      </c>
      <c r="CH32" s="84">
        <v>29</v>
      </c>
      <c r="CK32" s="84">
        <v>125</v>
      </c>
      <c r="CL32" s="84">
        <v>125</v>
      </c>
      <c r="CM32" s="84">
        <v>125</v>
      </c>
      <c r="CN32" s="84">
        <v>125</v>
      </c>
      <c r="CO32" s="84">
        <v>125</v>
      </c>
      <c r="CP32" s="84">
        <v>125</v>
      </c>
      <c r="CQ32" s="84">
        <v>125</v>
      </c>
      <c r="CR32" s="84">
        <v>125</v>
      </c>
      <c r="CS32" s="112">
        <v>70</v>
      </c>
      <c r="CT32" s="112">
        <v>52.5</v>
      </c>
      <c r="CU32" s="76" t="s">
        <v>175</v>
      </c>
      <c r="CW32" s="112">
        <v>88.900000000000006</v>
      </c>
      <c r="CX32" s="112">
        <v>46.700000000000003</v>
      </c>
      <c r="CY32" s="76" t="s">
        <v>175</v>
      </c>
      <c r="DA32" s="112">
        <v>175</v>
      </c>
      <c r="DB32" s="112">
        <v>42</v>
      </c>
      <c r="DC32" s="76" t="s">
        <v>175</v>
      </c>
      <c r="DE32" s="112">
        <v>362.30000000000001</v>
      </c>
      <c r="DF32" s="112">
        <v>41</v>
      </c>
      <c r="DG32" s="76" t="s">
        <v>175</v>
      </c>
      <c r="DI32" s="84">
        <v>140</v>
      </c>
      <c r="DJ32" s="84">
        <v>140</v>
      </c>
      <c r="DK32" s="84">
        <v>140</v>
      </c>
      <c r="DL32" s="84">
        <v>140</v>
      </c>
      <c r="DM32" s="84">
        <v>140</v>
      </c>
      <c r="DN32" s="84">
        <v>140</v>
      </c>
      <c r="DO32" s="84">
        <v>140</v>
      </c>
      <c r="DP32" s="84">
        <v>140</v>
      </c>
    </row>
    <row r="33" s="76" customFormat="1" ht="15.75" customHeight="1">
      <c r="A33" s="71">
        <v>2000000</v>
      </c>
      <c r="B33" s="72" t="s">
        <v>157</v>
      </c>
      <c r="C33" s="75" t="s">
        <v>158</v>
      </c>
      <c r="D33" s="71">
        <v>2200000</v>
      </c>
      <c r="E33" s="107" t="s">
        <v>159</v>
      </c>
      <c r="F33" s="108" t="s">
        <v>160</v>
      </c>
      <c r="G33" s="74"/>
      <c r="H33" s="74"/>
      <c r="I33" s="72"/>
      <c r="J33" s="72"/>
      <c r="L33" s="72" t="s">
        <v>196</v>
      </c>
      <c r="M33" s="107" t="s">
        <v>159</v>
      </c>
      <c r="N33" s="109" t="s">
        <v>197</v>
      </c>
      <c r="O33" s="110" t="s">
        <v>163</v>
      </c>
      <c r="T33" s="77"/>
      <c r="U33" s="76" t="s">
        <v>180</v>
      </c>
      <c r="V33" s="76" t="s">
        <v>198</v>
      </c>
      <c r="W33" s="76" t="s">
        <v>199</v>
      </c>
      <c r="X33" s="77" t="s">
        <v>167</v>
      </c>
      <c r="Y33" s="76" t="s">
        <v>183</v>
      </c>
      <c r="Z33" s="76" t="s">
        <v>169</v>
      </c>
      <c r="AD33" s="76" t="s">
        <v>170</v>
      </c>
      <c r="AE33" s="76" t="s">
        <v>171</v>
      </c>
      <c r="AF33" s="76" t="s">
        <v>171</v>
      </c>
      <c r="AG33" s="77" t="s">
        <v>184</v>
      </c>
      <c r="AH33" s="77"/>
      <c r="AI33" s="77"/>
      <c r="AJ33" s="77"/>
      <c r="AK33" s="77"/>
      <c r="AL33" s="111" t="s">
        <v>173</v>
      </c>
      <c r="AN33" s="99" t="s">
        <v>174</v>
      </c>
      <c r="AO33" s="76">
        <v>500</v>
      </c>
      <c r="AP33" s="82">
        <v>100000</v>
      </c>
      <c r="AQ33" s="86">
        <v>13.800000000000001</v>
      </c>
      <c r="AR33" s="76" t="s">
        <v>92</v>
      </c>
      <c r="AS33" s="84">
        <f t="shared" si="12"/>
        <v>346.5</v>
      </c>
      <c r="AT33" s="84">
        <f t="shared" si="13"/>
        <v>209.79749999999999</v>
      </c>
      <c r="AU33" s="85">
        <v>7</v>
      </c>
      <c r="AV33" s="85">
        <v>5</v>
      </c>
      <c r="AW33" s="86">
        <v>24</v>
      </c>
      <c r="AX33" s="84">
        <f t="shared" si="14"/>
        <v>322.5</v>
      </c>
      <c r="AY33" s="84">
        <f t="shared" si="15"/>
        <v>194.91749999999999</v>
      </c>
      <c r="AZ33" s="85">
        <v>7</v>
      </c>
      <c r="BA33" s="85">
        <v>5</v>
      </c>
      <c r="BB33" s="86">
        <v>15</v>
      </c>
      <c r="BC33" s="84">
        <f t="shared" si="16"/>
        <v>1154.25</v>
      </c>
      <c r="BD33" s="84">
        <f t="shared" si="17"/>
        <v>136.91249999999999</v>
      </c>
      <c r="BE33" s="85">
        <v>8</v>
      </c>
      <c r="BF33" s="85">
        <v>6</v>
      </c>
      <c r="BG33" s="86">
        <v>12</v>
      </c>
      <c r="BH33" s="84">
        <f t="shared" si="18"/>
        <v>1814.25</v>
      </c>
      <c r="BI33" s="84">
        <f t="shared" si="19"/>
        <v>133.3125</v>
      </c>
      <c r="BJ33" s="85">
        <v>12</v>
      </c>
      <c r="BK33" s="85">
        <v>9</v>
      </c>
      <c r="BL33" s="86">
        <v>14</v>
      </c>
      <c r="BM33" s="71">
        <v>4000</v>
      </c>
      <c r="BN33" s="84">
        <f t="shared" si="20"/>
        <v>1185.6899999999998</v>
      </c>
      <c r="BO33" s="71">
        <v>10000</v>
      </c>
      <c r="BP33" s="84">
        <f t="shared" si="21"/>
        <v>2271.6750000000002</v>
      </c>
      <c r="BQ33" s="71">
        <v>50000</v>
      </c>
      <c r="BR33" s="84">
        <f t="shared" si="22"/>
        <v>7999.875</v>
      </c>
      <c r="BS33" s="71">
        <v>51000</v>
      </c>
      <c r="BT33" s="84">
        <f t="shared" si="23"/>
        <v>8613.1875</v>
      </c>
      <c r="BU33" s="84">
        <v>90</v>
      </c>
      <c r="BV33" s="84">
        <v>45.030000000000001</v>
      </c>
      <c r="BY33" s="84">
        <v>90</v>
      </c>
      <c r="BZ33" s="84">
        <v>45.030000000000001</v>
      </c>
      <c r="CC33" s="84">
        <v>305</v>
      </c>
      <c r="CD33" s="84">
        <v>24.050000000000001</v>
      </c>
      <c r="CG33" s="84">
        <v>305</v>
      </c>
      <c r="CH33" s="84">
        <v>24.050000000000001</v>
      </c>
      <c r="CK33" s="84">
        <v>125</v>
      </c>
      <c r="CL33" s="84">
        <v>125</v>
      </c>
      <c r="CM33" s="84">
        <v>125</v>
      </c>
      <c r="CN33" s="84">
        <v>125</v>
      </c>
      <c r="CO33" s="84">
        <v>125</v>
      </c>
      <c r="CP33" s="84">
        <v>125</v>
      </c>
      <c r="CQ33" s="84">
        <v>125</v>
      </c>
      <c r="CR33" s="84">
        <v>125</v>
      </c>
      <c r="CS33" s="112">
        <v>60</v>
      </c>
      <c r="CT33" s="112">
        <v>45.200000000000003</v>
      </c>
      <c r="CU33" s="76" t="s">
        <v>175</v>
      </c>
      <c r="CW33" s="112">
        <v>50</v>
      </c>
      <c r="CX33" s="112">
        <v>39</v>
      </c>
      <c r="CY33" s="76" t="s">
        <v>175</v>
      </c>
      <c r="DA33" s="112">
        <v>195</v>
      </c>
      <c r="DB33" s="112">
        <v>34.5</v>
      </c>
      <c r="DC33" s="76" t="s">
        <v>175</v>
      </c>
      <c r="DE33" s="112">
        <v>470</v>
      </c>
      <c r="DF33" s="112">
        <v>33</v>
      </c>
      <c r="DG33" s="76" t="s">
        <v>175</v>
      </c>
      <c r="DI33" s="84">
        <v>140</v>
      </c>
      <c r="DJ33" s="84">
        <v>140</v>
      </c>
      <c r="DK33" s="84">
        <v>140</v>
      </c>
      <c r="DL33" s="84">
        <v>140</v>
      </c>
      <c r="DM33" s="84">
        <v>140</v>
      </c>
      <c r="DN33" s="84">
        <v>140</v>
      </c>
      <c r="DO33" s="84">
        <v>140</v>
      </c>
      <c r="DP33" s="84">
        <v>140</v>
      </c>
    </row>
    <row r="34" s="76" customFormat="1" ht="15.75" customHeight="1">
      <c r="A34" s="71">
        <v>2000000</v>
      </c>
      <c r="B34" s="72" t="s">
        <v>157</v>
      </c>
      <c r="C34" s="75" t="s">
        <v>158</v>
      </c>
      <c r="D34" s="71">
        <v>2200000</v>
      </c>
      <c r="E34" s="107" t="s">
        <v>159</v>
      </c>
      <c r="F34" s="108" t="s">
        <v>160</v>
      </c>
      <c r="G34" s="74"/>
      <c r="H34" s="74"/>
      <c r="I34" s="72"/>
      <c r="J34" s="72"/>
      <c r="L34" s="72" t="s">
        <v>200</v>
      </c>
      <c r="M34" s="107" t="s">
        <v>159</v>
      </c>
      <c r="N34" s="111"/>
      <c r="O34" s="110" t="s">
        <v>163</v>
      </c>
      <c r="T34" s="77"/>
      <c r="U34" s="76" t="s">
        <v>180</v>
      </c>
      <c r="V34" s="76" t="s">
        <v>198</v>
      </c>
      <c r="W34" s="76" t="s">
        <v>199</v>
      </c>
      <c r="X34" s="77" t="s">
        <v>167</v>
      </c>
      <c r="Y34" s="76" t="s">
        <v>168</v>
      </c>
      <c r="Z34" s="76" t="s">
        <v>169</v>
      </c>
      <c r="AD34" s="76" t="s">
        <v>170</v>
      </c>
      <c r="AE34" s="76" t="s">
        <v>171</v>
      </c>
      <c r="AF34" s="76" t="s">
        <v>171</v>
      </c>
      <c r="AG34" s="77" t="s">
        <v>184</v>
      </c>
      <c r="AH34" s="77"/>
      <c r="AI34" s="77"/>
      <c r="AJ34" s="77"/>
      <c r="AK34" s="77"/>
      <c r="AL34" s="111" t="s">
        <v>173</v>
      </c>
      <c r="AN34" s="99" t="s">
        <v>174</v>
      </c>
      <c r="AO34" s="76">
        <v>500</v>
      </c>
      <c r="AP34" s="82">
        <v>100000</v>
      </c>
      <c r="AQ34" s="86">
        <v>17.399999999999999</v>
      </c>
      <c r="AR34" s="76" t="s">
        <v>92</v>
      </c>
      <c r="AS34" s="84">
        <f t="shared" si="12"/>
        <v>418.5</v>
      </c>
      <c r="AT34" s="84">
        <f t="shared" si="13"/>
        <v>216.51749999999998</v>
      </c>
      <c r="AU34" s="85">
        <v>7</v>
      </c>
      <c r="AV34" s="85">
        <v>5</v>
      </c>
      <c r="AW34" s="86">
        <v>24</v>
      </c>
      <c r="AX34" s="84">
        <f t="shared" si="14"/>
        <v>538.5</v>
      </c>
      <c r="AY34" s="84">
        <f t="shared" si="15"/>
        <v>204.51749999999998</v>
      </c>
      <c r="AZ34" s="85">
        <v>7</v>
      </c>
      <c r="BA34" s="85">
        <v>5</v>
      </c>
      <c r="BB34" s="86">
        <v>15</v>
      </c>
      <c r="BC34" s="84">
        <f t="shared" si="16"/>
        <v>1078.8900000000001</v>
      </c>
      <c r="BD34" s="84">
        <f t="shared" si="17"/>
        <v>158.51249999999999</v>
      </c>
      <c r="BE34" s="85">
        <v>8</v>
      </c>
      <c r="BF34" s="85">
        <v>6</v>
      </c>
      <c r="BG34" s="86">
        <v>12</v>
      </c>
      <c r="BH34" s="84">
        <f t="shared" si="18"/>
        <v>1526.25</v>
      </c>
      <c r="BI34" s="84">
        <f t="shared" si="19"/>
        <v>156.11250000000001</v>
      </c>
      <c r="BJ34" s="85">
        <v>12</v>
      </c>
      <c r="BK34" s="85">
        <v>9</v>
      </c>
      <c r="BL34" s="86">
        <v>14</v>
      </c>
      <c r="BM34" s="71">
        <v>4000</v>
      </c>
      <c r="BN34" s="84">
        <f t="shared" si="20"/>
        <v>1284.5699999999999</v>
      </c>
      <c r="BO34" s="71">
        <v>10000</v>
      </c>
      <c r="BP34" s="84">
        <f t="shared" si="21"/>
        <v>2583.6749999999997</v>
      </c>
      <c r="BQ34" s="71">
        <v>50000</v>
      </c>
      <c r="BR34" s="84">
        <f t="shared" si="22"/>
        <v>9004.5149999999994</v>
      </c>
      <c r="BS34" s="71">
        <v>51000</v>
      </c>
      <c r="BT34" s="84">
        <f t="shared" si="23"/>
        <v>9487.9875000000011</v>
      </c>
      <c r="BU34" s="84">
        <v>90</v>
      </c>
      <c r="BV34" s="84">
        <v>45.030000000000001</v>
      </c>
      <c r="BY34" s="84">
        <v>90</v>
      </c>
      <c r="BZ34" s="84">
        <v>45.030000000000001</v>
      </c>
      <c r="CC34" s="84">
        <v>305</v>
      </c>
      <c r="CD34" s="84">
        <v>24.050000000000001</v>
      </c>
      <c r="CG34" s="84">
        <v>305</v>
      </c>
      <c r="CH34" s="84">
        <v>24.050000000000001</v>
      </c>
      <c r="CK34" s="84">
        <v>125</v>
      </c>
      <c r="CL34" s="84">
        <v>125</v>
      </c>
      <c r="CM34" s="84">
        <v>125</v>
      </c>
      <c r="CN34" s="84">
        <v>125</v>
      </c>
      <c r="CO34" s="84">
        <v>125</v>
      </c>
      <c r="CP34" s="84">
        <v>125</v>
      </c>
      <c r="CQ34" s="84">
        <v>125</v>
      </c>
      <c r="CR34" s="84">
        <v>125</v>
      </c>
      <c r="CS34" s="112">
        <v>90</v>
      </c>
      <c r="CT34" s="112">
        <v>48</v>
      </c>
      <c r="CU34" s="76" t="s">
        <v>175</v>
      </c>
      <c r="CW34" s="112">
        <v>140</v>
      </c>
      <c r="CX34" s="112">
        <v>43</v>
      </c>
      <c r="CY34" s="76" t="s">
        <v>175</v>
      </c>
      <c r="DA34" s="112">
        <v>163.59999999999999</v>
      </c>
      <c r="DB34" s="112">
        <v>43.5</v>
      </c>
      <c r="DC34" s="76" t="s">
        <v>175</v>
      </c>
      <c r="DE34" s="112">
        <v>350</v>
      </c>
      <c r="DF34" s="112">
        <v>42.5</v>
      </c>
      <c r="DG34" s="76" t="s">
        <v>175</v>
      </c>
      <c r="DI34" s="84">
        <v>140</v>
      </c>
      <c r="DJ34" s="84">
        <v>140</v>
      </c>
      <c r="DK34" s="84">
        <v>140</v>
      </c>
      <c r="DL34" s="84">
        <v>140</v>
      </c>
      <c r="DM34" s="84">
        <v>140</v>
      </c>
      <c r="DN34" s="84">
        <v>140</v>
      </c>
      <c r="DO34" s="84">
        <v>140</v>
      </c>
      <c r="DP34" s="84">
        <v>140</v>
      </c>
    </row>
    <row r="35" s="76" customFormat="1" ht="15.75" customHeight="1">
      <c r="A35" s="71">
        <v>2000000</v>
      </c>
      <c r="B35" s="72" t="s">
        <v>157</v>
      </c>
      <c r="C35" s="75" t="s">
        <v>158</v>
      </c>
      <c r="D35" s="71">
        <v>2200000</v>
      </c>
      <c r="E35" s="107" t="s">
        <v>159</v>
      </c>
      <c r="F35" s="108" t="s">
        <v>160</v>
      </c>
      <c r="G35" s="74"/>
      <c r="H35" s="74"/>
      <c r="I35" s="72"/>
      <c r="J35" s="72"/>
      <c r="L35" s="72" t="s">
        <v>201</v>
      </c>
      <c r="M35" s="107" t="s">
        <v>159</v>
      </c>
      <c r="N35" s="109" t="s">
        <v>202</v>
      </c>
      <c r="O35" s="110" t="s">
        <v>163</v>
      </c>
      <c r="T35" s="77"/>
      <c r="U35" s="76" t="s">
        <v>180</v>
      </c>
      <c r="V35" s="76" t="s">
        <v>203</v>
      </c>
      <c r="W35" s="76" t="s">
        <v>204</v>
      </c>
      <c r="X35" s="77" t="s">
        <v>167</v>
      </c>
      <c r="Y35" s="76" t="s">
        <v>183</v>
      </c>
      <c r="Z35" s="76" t="s">
        <v>169</v>
      </c>
      <c r="AD35" s="76" t="s">
        <v>170</v>
      </c>
      <c r="AE35" s="76" t="s">
        <v>171</v>
      </c>
      <c r="AF35" s="76" t="s">
        <v>171</v>
      </c>
      <c r="AG35" s="77" t="s">
        <v>184</v>
      </c>
      <c r="AH35" s="77"/>
      <c r="AI35" s="77"/>
      <c r="AJ35" s="77"/>
      <c r="AK35" s="77"/>
      <c r="AL35" s="111" t="s">
        <v>173</v>
      </c>
      <c r="AN35" s="99" t="s">
        <v>174</v>
      </c>
      <c r="AO35" s="85">
        <v>500</v>
      </c>
      <c r="AP35" s="82">
        <v>100000</v>
      </c>
      <c r="AQ35" s="86">
        <v>16.600000000000001</v>
      </c>
      <c r="AR35" s="76" t="s">
        <v>92</v>
      </c>
      <c r="AS35" s="84">
        <f t="shared" si="12"/>
        <v>363.05999999999995</v>
      </c>
      <c r="AT35" s="84">
        <f t="shared" si="13"/>
        <v>222.2775</v>
      </c>
      <c r="AU35" s="85">
        <v>7</v>
      </c>
      <c r="AV35" s="85">
        <v>5</v>
      </c>
      <c r="AW35" s="86">
        <v>24</v>
      </c>
      <c r="AX35" s="84">
        <f t="shared" si="14"/>
        <v>316.5</v>
      </c>
      <c r="AY35" s="84">
        <f t="shared" si="15"/>
        <v>205.47749999999999</v>
      </c>
      <c r="AZ35" s="85">
        <v>7</v>
      </c>
      <c r="BA35" s="85">
        <v>5</v>
      </c>
      <c r="BB35" s="86">
        <v>15</v>
      </c>
      <c r="BC35" s="84">
        <f t="shared" si="16"/>
        <v>1069.05</v>
      </c>
      <c r="BD35" s="84">
        <f t="shared" si="17"/>
        <v>154.67249999999999</v>
      </c>
      <c r="BE35" s="85">
        <v>8</v>
      </c>
      <c r="BF35" s="85">
        <v>6</v>
      </c>
      <c r="BG35" s="86">
        <v>12</v>
      </c>
      <c r="BH35" s="84">
        <f t="shared" si="18"/>
        <v>1578.3299999999999</v>
      </c>
      <c r="BI35" s="84">
        <f t="shared" si="19"/>
        <v>153.71250000000001</v>
      </c>
      <c r="BJ35" s="85">
        <v>12</v>
      </c>
      <c r="BK35" s="85">
        <v>9</v>
      </c>
      <c r="BL35" s="86">
        <v>14</v>
      </c>
      <c r="BM35" s="71">
        <v>4000</v>
      </c>
      <c r="BN35" s="84">
        <f t="shared" si="20"/>
        <v>1252.1700000000001</v>
      </c>
      <c r="BO35" s="71">
        <v>10000</v>
      </c>
      <c r="BP35" s="84">
        <f t="shared" si="21"/>
        <v>2371.2750000000001</v>
      </c>
      <c r="BQ35" s="71">
        <v>50000</v>
      </c>
      <c r="BR35" s="84">
        <f t="shared" si="22"/>
        <v>8802.6749999999993</v>
      </c>
      <c r="BS35" s="71">
        <v>51000</v>
      </c>
      <c r="BT35" s="84">
        <f t="shared" si="23"/>
        <v>9417.6674999999996</v>
      </c>
      <c r="BU35" s="84">
        <v>90</v>
      </c>
      <c r="BV35" s="84">
        <v>45.030000000000001</v>
      </c>
      <c r="BY35" s="84">
        <v>90</v>
      </c>
      <c r="BZ35" s="84">
        <v>45.030000000000001</v>
      </c>
      <c r="CC35" s="84">
        <v>305</v>
      </c>
      <c r="CD35" s="84">
        <v>24.050000000000001</v>
      </c>
      <c r="CG35" s="84">
        <v>305</v>
      </c>
      <c r="CH35" s="84">
        <v>24.050000000000001</v>
      </c>
      <c r="CK35" s="84">
        <v>125</v>
      </c>
      <c r="CL35" s="84">
        <v>125</v>
      </c>
      <c r="CM35" s="84">
        <v>125</v>
      </c>
      <c r="CN35" s="84">
        <v>125</v>
      </c>
      <c r="CO35" s="84">
        <v>125</v>
      </c>
      <c r="CP35" s="84">
        <v>125</v>
      </c>
      <c r="CQ35" s="84">
        <v>125</v>
      </c>
      <c r="CR35" s="84">
        <v>125</v>
      </c>
      <c r="CS35" s="112">
        <v>66.900000000000006</v>
      </c>
      <c r="CT35" s="112">
        <v>50.399999999999999</v>
      </c>
      <c r="CU35" s="76" t="s">
        <v>175</v>
      </c>
      <c r="CW35" s="112">
        <v>47.5</v>
      </c>
      <c r="CX35" s="112">
        <v>43.399999999999999</v>
      </c>
      <c r="CY35" s="76" t="s">
        <v>175</v>
      </c>
      <c r="DA35" s="112">
        <v>159.5</v>
      </c>
      <c r="DB35" s="112">
        <v>41.899999999999999</v>
      </c>
      <c r="DC35" s="76" t="s">
        <v>175</v>
      </c>
      <c r="DE35" s="112">
        <v>371.69999999999999</v>
      </c>
      <c r="DF35" s="112">
        <v>41.5</v>
      </c>
      <c r="DG35" s="76" t="s">
        <v>175</v>
      </c>
      <c r="DI35" s="84">
        <v>140</v>
      </c>
      <c r="DJ35" s="84">
        <v>140</v>
      </c>
      <c r="DK35" s="84">
        <v>140</v>
      </c>
      <c r="DL35" s="84">
        <v>140</v>
      </c>
      <c r="DM35" s="84">
        <v>140</v>
      </c>
      <c r="DN35" s="84">
        <v>140</v>
      </c>
      <c r="DO35" s="84">
        <v>140</v>
      </c>
      <c r="DP35" s="84">
        <v>140</v>
      </c>
    </row>
    <row r="36" s="113" customFormat="1" ht="15.75" customHeight="1">
      <c r="A36" s="114">
        <v>2000000</v>
      </c>
      <c r="B36" s="115" t="s">
        <v>157</v>
      </c>
      <c r="C36" s="75" t="s">
        <v>158</v>
      </c>
      <c r="D36" s="114">
        <v>2200000</v>
      </c>
      <c r="E36" s="116" t="s">
        <v>159</v>
      </c>
      <c r="F36" s="108" t="s">
        <v>160</v>
      </c>
      <c r="G36" s="117"/>
      <c r="H36" s="117"/>
      <c r="I36" s="115"/>
      <c r="J36" s="115"/>
      <c r="L36" s="115" t="s">
        <v>205</v>
      </c>
      <c r="M36" s="116" t="s">
        <v>159</v>
      </c>
      <c r="N36" s="118"/>
      <c r="O36" s="119" t="s">
        <v>163</v>
      </c>
      <c r="T36" s="120"/>
      <c r="U36" s="113" t="s">
        <v>180</v>
      </c>
      <c r="V36" s="113" t="s">
        <v>203</v>
      </c>
      <c r="W36" s="113" t="s">
        <v>204</v>
      </c>
      <c r="X36" s="120" t="s">
        <v>167</v>
      </c>
      <c r="Y36" s="113" t="s">
        <v>168</v>
      </c>
      <c r="Z36" s="113" t="s">
        <v>169</v>
      </c>
      <c r="AD36" s="113" t="s">
        <v>170</v>
      </c>
      <c r="AE36" s="113" t="s">
        <v>171</v>
      </c>
      <c r="AF36" s="113" t="s">
        <v>171</v>
      </c>
      <c r="AG36" s="120" t="s">
        <v>184</v>
      </c>
      <c r="AH36" s="120"/>
      <c r="AI36" s="120"/>
      <c r="AJ36" s="120"/>
      <c r="AK36" s="120"/>
      <c r="AL36" s="111" t="s">
        <v>173</v>
      </c>
      <c r="AN36" s="121" t="s">
        <v>174</v>
      </c>
      <c r="AO36" s="122">
        <v>500</v>
      </c>
      <c r="AP36" s="82">
        <v>100000</v>
      </c>
      <c r="AQ36" s="123">
        <v>20.899999999999999</v>
      </c>
      <c r="AR36" s="113" t="s">
        <v>206</v>
      </c>
      <c r="AS36" s="124">
        <f t="shared" si="12"/>
        <v>420.54000000000002</v>
      </c>
      <c r="AT36" s="124">
        <f t="shared" si="13"/>
        <v>296.65500000000003</v>
      </c>
      <c r="AU36" s="122">
        <v>7</v>
      </c>
      <c r="AV36" s="122">
        <v>5</v>
      </c>
      <c r="AW36" s="123">
        <v>24</v>
      </c>
      <c r="AX36" s="124">
        <f t="shared" si="14"/>
        <v>377.34000000000003</v>
      </c>
      <c r="AY36" s="124">
        <f t="shared" si="15"/>
        <v>279.85500000000002</v>
      </c>
      <c r="AZ36" s="122">
        <v>7</v>
      </c>
      <c r="BA36" s="122">
        <v>5</v>
      </c>
      <c r="BB36" s="123">
        <v>15</v>
      </c>
      <c r="BC36" s="124">
        <f t="shared" si="16"/>
        <v>1158.21</v>
      </c>
      <c r="BD36" s="124">
        <f t="shared" si="17"/>
        <v>227.19749999999999</v>
      </c>
      <c r="BE36" s="122">
        <v>8</v>
      </c>
      <c r="BF36" s="122">
        <v>6</v>
      </c>
      <c r="BG36" s="123">
        <v>12</v>
      </c>
      <c r="BH36" s="124">
        <f t="shared" si="18"/>
        <v>1742.6100000000001</v>
      </c>
      <c r="BI36" s="124">
        <f t="shared" si="19"/>
        <v>225.9975</v>
      </c>
      <c r="BJ36" s="122">
        <v>12</v>
      </c>
      <c r="BK36" s="122">
        <v>9</v>
      </c>
      <c r="BL36" s="123">
        <v>14</v>
      </c>
      <c r="BM36" s="114">
        <v>4000</v>
      </c>
      <c r="BN36" s="124">
        <f t="shared" si="20"/>
        <v>1607.1600000000003</v>
      </c>
      <c r="BO36" s="114">
        <v>10000</v>
      </c>
      <c r="BP36" s="124">
        <f t="shared" si="21"/>
        <v>3175.8900000000003</v>
      </c>
      <c r="BQ36" s="114">
        <v>10100</v>
      </c>
      <c r="BR36" s="124">
        <f t="shared" si="22"/>
        <v>3452.9047500000001</v>
      </c>
      <c r="BS36" s="114">
        <v>51000</v>
      </c>
      <c r="BT36" s="124">
        <f t="shared" si="23"/>
        <v>13268.4825</v>
      </c>
      <c r="BU36" s="124">
        <v>110</v>
      </c>
      <c r="BV36" s="124">
        <v>71.900000000000006</v>
      </c>
      <c r="BY36" s="124">
        <v>110</v>
      </c>
      <c r="BZ36" s="124">
        <v>71.900000000000006</v>
      </c>
      <c r="CC36" s="124">
        <v>325</v>
      </c>
      <c r="CD36" s="124">
        <v>50.310000000000002</v>
      </c>
      <c r="CG36" s="124">
        <v>325</v>
      </c>
      <c r="CH36" s="124">
        <v>50.310000000000002</v>
      </c>
      <c r="CK36" s="124">
        <v>125</v>
      </c>
      <c r="CL36" s="124">
        <v>125</v>
      </c>
      <c r="CM36" s="124">
        <v>125</v>
      </c>
      <c r="CN36" s="124">
        <v>125</v>
      </c>
      <c r="CO36" s="124">
        <v>125</v>
      </c>
      <c r="CP36" s="124">
        <v>125</v>
      </c>
      <c r="CQ36" s="124">
        <v>125</v>
      </c>
      <c r="CR36" s="124">
        <v>125</v>
      </c>
      <c r="CS36" s="125">
        <v>72.099999999999994</v>
      </c>
      <c r="CT36" s="125">
        <v>56.200000000000003</v>
      </c>
      <c r="CU36" s="113" t="s">
        <v>175</v>
      </c>
      <c r="CW36" s="125">
        <v>54.100000000000001</v>
      </c>
      <c r="CX36" s="125">
        <v>49.200000000000003</v>
      </c>
      <c r="CY36" s="113" t="s">
        <v>175</v>
      </c>
      <c r="DA36" s="125">
        <v>177.90000000000001</v>
      </c>
      <c r="DB36" s="125">
        <v>47.5</v>
      </c>
      <c r="DC36" s="113" t="s">
        <v>175</v>
      </c>
      <c r="DE36" s="125">
        <v>421.39999999999998</v>
      </c>
      <c r="DF36" s="125">
        <v>47</v>
      </c>
      <c r="DG36" s="113" t="s">
        <v>175</v>
      </c>
      <c r="DI36" s="124">
        <v>140</v>
      </c>
      <c r="DJ36" s="124">
        <v>140</v>
      </c>
      <c r="DK36" s="124">
        <v>140</v>
      </c>
      <c r="DL36" s="124">
        <v>140</v>
      </c>
      <c r="DM36" s="124">
        <v>140</v>
      </c>
      <c r="DN36" s="124">
        <v>140</v>
      </c>
      <c r="DO36" s="124">
        <v>140</v>
      </c>
      <c r="DP36" s="124">
        <v>140</v>
      </c>
    </row>
    <row r="37" s="62" customFormat="1" ht="15.75" customHeight="1">
      <c r="A37" s="52">
        <v>2000000</v>
      </c>
      <c r="B37" s="53" t="s">
        <v>157</v>
      </c>
      <c r="C37" s="75" t="s">
        <v>158</v>
      </c>
      <c r="D37" s="52">
        <v>2210000</v>
      </c>
      <c r="E37" s="126" t="s">
        <v>207</v>
      </c>
      <c r="F37" s="127" t="s">
        <v>208</v>
      </c>
      <c r="G37" s="55"/>
      <c r="H37" s="55"/>
      <c r="I37" s="53"/>
      <c r="J37" s="53"/>
      <c r="L37" s="53" t="s">
        <v>209</v>
      </c>
      <c r="M37" s="126" t="s">
        <v>207</v>
      </c>
      <c r="N37" s="128" t="s">
        <v>210</v>
      </c>
      <c r="O37" s="128" t="s">
        <v>211</v>
      </c>
      <c r="T37" s="129"/>
      <c r="U37" s="51" t="s">
        <v>212</v>
      </c>
      <c r="V37" s="51" t="s">
        <v>213</v>
      </c>
      <c r="W37" s="51" t="s">
        <v>166</v>
      </c>
      <c r="X37" s="129" t="s">
        <v>167</v>
      </c>
      <c r="Y37" s="51" t="s">
        <v>168</v>
      </c>
      <c r="Z37" s="62" t="s">
        <v>169</v>
      </c>
      <c r="AD37" s="51" t="s">
        <v>170</v>
      </c>
      <c r="AE37" s="62" t="s">
        <v>171</v>
      </c>
      <c r="AF37" s="62" t="s">
        <v>171</v>
      </c>
      <c r="AG37" s="57" t="s">
        <v>214</v>
      </c>
      <c r="AH37" s="57"/>
      <c r="AI37" s="57"/>
      <c r="AJ37" s="57"/>
      <c r="AK37" s="57"/>
      <c r="AN37" s="106" t="s">
        <v>174</v>
      </c>
      <c r="AO37" s="63">
        <v>500</v>
      </c>
      <c r="AP37" s="60">
        <v>100000</v>
      </c>
      <c r="AQ37" s="64">
        <v>10.1</v>
      </c>
      <c r="AR37" s="62" t="s">
        <v>92</v>
      </c>
      <c r="AS37" s="62">
        <f t="shared" si="12"/>
        <v>406.5</v>
      </c>
      <c r="AT37" s="62">
        <f t="shared" si="13"/>
        <v>240.03750000000002</v>
      </c>
      <c r="AU37" s="63">
        <v>7</v>
      </c>
      <c r="AV37" s="63">
        <v>5</v>
      </c>
      <c r="AW37" s="64">
        <v>24</v>
      </c>
      <c r="AX37" s="62">
        <f t="shared" si="14"/>
        <v>371.94000000000005</v>
      </c>
      <c r="AY37" s="62">
        <f t="shared" si="15"/>
        <v>222.75749999999999</v>
      </c>
      <c r="AZ37" s="63">
        <v>7</v>
      </c>
      <c r="BA37" s="63">
        <v>5</v>
      </c>
      <c r="BB37" s="64">
        <v>15</v>
      </c>
      <c r="BC37" s="62">
        <f t="shared" si="16"/>
        <v>1111.29</v>
      </c>
      <c r="BD37" s="62">
        <f t="shared" si="17"/>
        <v>170.0325</v>
      </c>
      <c r="BE37" s="63">
        <v>8</v>
      </c>
      <c r="BF37" s="63">
        <v>6</v>
      </c>
      <c r="BG37" s="64">
        <v>12</v>
      </c>
      <c r="BH37" s="62">
        <f t="shared" si="18"/>
        <v>1891.05</v>
      </c>
      <c r="BI37" s="62">
        <f t="shared" si="19"/>
        <v>166.67249999999999</v>
      </c>
      <c r="BJ37" s="63">
        <v>12</v>
      </c>
      <c r="BK37" s="63">
        <v>9</v>
      </c>
      <c r="BL37" s="64">
        <v>14</v>
      </c>
      <c r="BM37" s="52">
        <v>5000</v>
      </c>
      <c r="BN37" s="62">
        <f t="shared" si="20"/>
        <v>1606.6875</v>
      </c>
      <c r="BO37" s="52">
        <v>10000</v>
      </c>
      <c r="BP37" s="62">
        <f t="shared" si="21"/>
        <v>2599.5149999999999</v>
      </c>
      <c r="BQ37" s="52">
        <v>11000</v>
      </c>
      <c r="BR37" s="62">
        <f t="shared" si="22"/>
        <v>2981.6475</v>
      </c>
      <c r="BS37" s="52">
        <v>60000</v>
      </c>
      <c r="BT37" s="62">
        <f t="shared" si="23"/>
        <v>11891.4</v>
      </c>
      <c r="BU37" s="62">
        <v>90</v>
      </c>
      <c r="BV37" s="62">
        <v>45.030000000000001</v>
      </c>
      <c r="BW37" s="51"/>
      <c r="BX37" s="51"/>
      <c r="BY37" s="62">
        <v>90</v>
      </c>
      <c r="BZ37" s="62">
        <v>45.030000000000001</v>
      </c>
      <c r="CA37" s="51"/>
      <c r="CB37" s="51"/>
      <c r="CC37" s="62">
        <v>305</v>
      </c>
      <c r="CD37" s="62">
        <v>24.050000000000001</v>
      </c>
      <c r="CE37" s="51"/>
      <c r="CF37" s="51"/>
      <c r="CG37" s="62">
        <v>305</v>
      </c>
      <c r="CH37" s="62">
        <v>24.050000000000001</v>
      </c>
      <c r="CK37" s="62">
        <v>125</v>
      </c>
      <c r="CL37" s="62">
        <v>125</v>
      </c>
      <c r="CM37" s="62">
        <v>125</v>
      </c>
      <c r="CN37" s="62">
        <v>125</v>
      </c>
      <c r="CO37" s="62">
        <v>125</v>
      </c>
      <c r="CP37" s="62">
        <v>125</v>
      </c>
      <c r="CQ37" s="62">
        <v>125</v>
      </c>
      <c r="CR37" s="62">
        <v>125</v>
      </c>
      <c r="CS37" s="130">
        <v>85</v>
      </c>
      <c r="CT37" s="130">
        <v>57.799999999999997</v>
      </c>
      <c r="CU37" s="51" t="s">
        <v>175</v>
      </c>
      <c r="CV37" s="51"/>
      <c r="CW37" s="130">
        <v>70.599999999999994</v>
      </c>
      <c r="CX37" s="130">
        <v>50.600000000000001</v>
      </c>
      <c r="CY37" s="51" t="s">
        <v>175</v>
      </c>
      <c r="CZ37" s="51"/>
      <c r="DA37" s="130">
        <v>177.09999999999999</v>
      </c>
      <c r="DB37" s="130">
        <v>48.299999999999997</v>
      </c>
      <c r="DC37" s="51" t="s">
        <v>175</v>
      </c>
      <c r="DD37" s="51"/>
      <c r="DE37" s="130">
        <v>502</v>
      </c>
      <c r="DF37" s="130">
        <v>46.899999999999999</v>
      </c>
      <c r="DG37" s="51" t="s">
        <v>175</v>
      </c>
      <c r="DI37" s="62">
        <v>140</v>
      </c>
      <c r="DJ37" s="62">
        <v>140</v>
      </c>
      <c r="DK37" s="62">
        <v>140</v>
      </c>
      <c r="DL37" s="62">
        <v>140</v>
      </c>
      <c r="DM37" s="62">
        <v>140</v>
      </c>
      <c r="DN37" s="62">
        <v>140</v>
      </c>
      <c r="DO37" s="62">
        <v>140</v>
      </c>
      <c r="DP37" s="62">
        <v>140</v>
      </c>
    </row>
    <row r="38" s="62" customFormat="1" ht="15.75" customHeight="1">
      <c r="A38" s="52">
        <v>2000000</v>
      </c>
      <c r="B38" s="53" t="s">
        <v>157</v>
      </c>
      <c r="C38" s="75" t="s">
        <v>158</v>
      </c>
      <c r="D38" s="52">
        <v>2210000</v>
      </c>
      <c r="E38" s="126" t="s">
        <v>207</v>
      </c>
      <c r="F38" s="127" t="s">
        <v>208</v>
      </c>
      <c r="G38" s="55"/>
      <c r="H38" s="55"/>
      <c r="I38" s="53"/>
      <c r="J38" s="53"/>
      <c r="L38" s="53" t="s">
        <v>215</v>
      </c>
      <c r="M38" s="126" t="s">
        <v>207</v>
      </c>
      <c r="N38" s="129"/>
      <c r="O38" s="128" t="s">
        <v>211</v>
      </c>
      <c r="T38" s="129"/>
      <c r="U38" s="51" t="s">
        <v>212</v>
      </c>
      <c r="V38" s="51" t="s">
        <v>213</v>
      </c>
      <c r="W38" s="51" t="s">
        <v>166</v>
      </c>
      <c r="X38" s="129" t="s">
        <v>167</v>
      </c>
      <c r="Y38" s="51" t="s">
        <v>177</v>
      </c>
      <c r="Z38" s="62" t="s">
        <v>169</v>
      </c>
      <c r="AD38" s="51" t="s">
        <v>170</v>
      </c>
      <c r="AE38" s="62" t="s">
        <v>171</v>
      </c>
      <c r="AF38" s="62" t="s">
        <v>171</v>
      </c>
      <c r="AG38" s="57" t="s">
        <v>214</v>
      </c>
      <c r="AH38" s="57"/>
      <c r="AI38" s="57"/>
      <c r="AJ38" s="57"/>
      <c r="AK38" s="57"/>
      <c r="AN38" s="106" t="s">
        <v>174</v>
      </c>
      <c r="AO38" s="63">
        <v>500</v>
      </c>
      <c r="AP38" s="60">
        <v>100000</v>
      </c>
      <c r="AQ38" s="64">
        <v>14.800000000000001</v>
      </c>
      <c r="AR38" s="62" t="s">
        <v>92</v>
      </c>
      <c r="AS38" s="62">
        <f t="shared" si="12"/>
        <v>394.5</v>
      </c>
      <c r="AT38" s="62">
        <f t="shared" si="13"/>
        <v>278.91750000000002</v>
      </c>
      <c r="AU38" s="63">
        <v>7</v>
      </c>
      <c r="AV38" s="63">
        <v>5</v>
      </c>
      <c r="AW38" s="64">
        <v>24</v>
      </c>
      <c r="AX38" s="62">
        <f t="shared" si="14"/>
        <v>394.5</v>
      </c>
      <c r="AY38" s="62">
        <f t="shared" si="15"/>
        <v>258.75749999999999</v>
      </c>
      <c r="AZ38" s="63">
        <v>7</v>
      </c>
      <c r="BA38" s="63">
        <v>5</v>
      </c>
      <c r="BB38" s="64">
        <v>15</v>
      </c>
      <c r="BC38" s="62">
        <f t="shared" si="16"/>
        <v>1238.25</v>
      </c>
      <c r="BD38" s="62">
        <f t="shared" si="17"/>
        <v>210.11250000000001</v>
      </c>
      <c r="BE38" s="63">
        <v>8</v>
      </c>
      <c r="BF38" s="63">
        <v>6</v>
      </c>
      <c r="BG38" s="64">
        <v>12</v>
      </c>
      <c r="BH38" s="62">
        <f t="shared" si="18"/>
        <v>2105.8499999999999</v>
      </c>
      <c r="BI38" s="62">
        <f t="shared" si="19"/>
        <v>206.51249999999999</v>
      </c>
      <c r="BJ38" s="63">
        <v>12</v>
      </c>
      <c r="BK38" s="63">
        <v>9</v>
      </c>
      <c r="BL38" s="64">
        <v>14</v>
      </c>
      <c r="BM38" s="52">
        <v>4000</v>
      </c>
      <c r="BN38" s="62">
        <f t="shared" si="20"/>
        <v>1510.1700000000001</v>
      </c>
      <c r="BO38" s="52">
        <v>10000</v>
      </c>
      <c r="BP38" s="62">
        <f t="shared" si="21"/>
        <v>2982.0749999999998</v>
      </c>
      <c r="BQ38" s="52">
        <v>11000</v>
      </c>
      <c r="BR38" s="62">
        <f t="shared" si="22"/>
        <v>3549.4875000000002</v>
      </c>
      <c r="BS38" s="52">
        <v>60000</v>
      </c>
      <c r="BT38" s="62">
        <f t="shared" si="23"/>
        <v>14496.6</v>
      </c>
      <c r="BU38" s="62">
        <v>90</v>
      </c>
      <c r="BV38" s="62">
        <v>45.030000000000001</v>
      </c>
      <c r="BW38" s="51"/>
      <c r="BX38" s="51"/>
      <c r="BY38" s="62">
        <v>90</v>
      </c>
      <c r="BZ38" s="62">
        <v>45.030000000000001</v>
      </c>
      <c r="CA38" s="51"/>
      <c r="CB38" s="51"/>
      <c r="CC38" s="62">
        <v>305</v>
      </c>
      <c r="CD38" s="62">
        <v>24.050000000000001</v>
      </c>
      <c r="CE38" s="51"/>
      <c r="CF38" s="51"/>
      <c r="CG38" s="62">
        <v>305</v>
      </c>
      <c r="CH38" s="62">
        <v>24.050000000000001</v>
      </c>
      <c r="CK38" s="62">
        <v>125</v>
      </c>
      <c r="CL38" s="62">
        <v>125</v>
      </c>
      <c r="CM38" s="62">
        <v>125</v>
      </c>
      <c r="CN38" s="62">
        <v>125</v>
      </c>
      <c r="CO38" s="62">
        <v>125</v>
      </c>
      <c r="CP38" s="62">
        <v>125</v>
      </c>
      <c r="CQ38" s="62">
        <v>125</v>
      </c>
      <c r="CR38" s="62">
        <v>125</v>
      </c>
      <c r="CS38" s="62">
        <v>80</v>
      </c>
      <c r="CT38" s="62">
        <v>74</v>
      </c>
      <c r="CU38" s="51" t="s">
        <v>175</v>
      </c>
      <c r="CW38" s="62">
        <v>80</v>
      </c>
      <c r="CX38" s="62">
        <v>65.599999999999994</v>
      </c>
      <c r="CY38" s="51" t="s">
        <v>175</v>
      </c>
      <c r="DA38" s="62">
        <v>230</v>
      </c>
      <c r="DB38" s="62">
        <v>65</v>
      </c>
      <c r="DC38" s="51" t="s">
        <v>175</v>
      </c>
      <c r="DE38" s="62">
        <v>591.5</v>
      </c>
      <c r="DF38" s="62">
        <v>63.5</v>
      </c>
      <c r="DG38" s="51" t="s">
        <v>175</v>
      </c>
      <c r="DI38" s="62">
        <v>140</v>
      </c>
      <c r="DJ38" s="62">
        <v>140</v>
      </c>
      <c r="DK38" s="62">
        <v>140</v>
      </c>
      <c r="DL38" s="62">
        <v>140</v>
      </c>
      <c r="DM38" s="62">
        <v>140</v>
      </c>
      <c r="DN38" s="62">
        <v>140</v>
      </c>
      <c r="DO38" s="62">
        <v>140</v>
      </c>
      <c r="DP38" s="62">
        <v>140</v>
      </c>
    </row>
    <row r="39" s="51" customFormat="1" ht="15.75" customHeight="1">
      <c r="A39" s="52">
        <v>2000000</v>
      </c>
      <c r="B39" s="53" t="s">
        <v>157</v>
      </c>
      <c r="C39" s="75" t="s">
        <v>158</v>
      </c>
      <c r="D39" s="52">
        <v>2210000</v>
      </c>
      <c r="E39" s="126" t="s">
        <v>207</v>
      </c>
      <c r="F39" s="127" t="s">
        <v>208</v>
      </c>
      <c r="G39" s="55"/>
      <c r="H39" s="55"/>
      <c r="I39" s="53"/>
      <c r="J39" s="53"/>
      <c r="L39" s="53" t="s">
        <v>216</v>
      </c>
      <c r="M39" s="126" t="s">
        <v>207</v>
      </c>
      <c r="N39" s="131" t="s">
        <v>217</v>
      </c>
      <c r="O39" s="128" t="s">
        <v>211</v>
      </c>
      <c r="T39" s="57"/>
      <c r="U39" s="51" t="s">
        <v>212</v>
      </c>
      <c r="V39" s="51" t="s">
        <v>218</v>
      </c>
      <c r="W39" s="51" t="s">
        <v>182</v>
      </c>
      <c r="X39" s="57" t="s">
        <v>167</v>
      </c>
      <c r="Y39" s="51" t="s">
        <v>183</v>
      </c>
      <c r="Z39" s="51" t="s">
        <v>169</v>
      </c>
      <c r="AD39" s="51" t="s">
        <v>170</v>
      </c>
      <c r="AE39" s="51" t="s">
        <v>171</v>
      </c>
      <c r="AF39" s="51" t="s">
        <v>171</v>
      </c>
      <c r="AG39" s="57" t="s">
        <v>219</v>
      </c>
      <c r="AH39" s="57"/>
      <c r="AI39" s="57"/>
      <c r="AJ39" s="57"/>
      <c r="AK39" s="57"/>
      <c r="AN39" s="106" t="s">
        <v>174</v>
      </c>
      <c r="AO39" s="63">
        <v>500</v>
      </c>
      <c r="AP39" s="60">
        <v>100000</v>
      </c>
      <c r="AQ39" s="64">
        <v>11.9</v>
      </c>
      <c r="AR39" s="51" t="s">
        <v>92</v>
      </c>
      <c r="AS39" s="62">
        <f t="shared" si="12"/>
        <v>430.5</v>
      </c>
      <c r="AT39" s="62">
        <f t="shared" si="13"/>
        <v>271.71749999999997</v>
      </c>
      <c r="AU39" s="63">
        <v>7</v>
      </c>
      <c r="AV39" s="63">
        <v>5</v>
      </c>
      <c r="AW39" s="64">
        <v>24</v>
      </c>
      <c r="AX39" s="62">
        <f t="shared" si="14"/>
        <v>390.89999999999998</v>
      </c>
      <c r="AY39" s="62">
        <f t="shared" si="15"/>
        <v>251.07749999999999</v>
      </c>
      <c r="AZ39" s="63">
        <v>7</v>
      </c>
      <c r="BA39" s="63">
        <v>5</v>
      </c>
      <c r="BB39" s="64">
        <v>15</v>
      </c>
      <c r="BC39" s="62">
        <f t="shared" si="16"/>
        <v>1208.73</v>
      </c>
      <c r="BD39" s="62">
        <f t="shared" si="17"/>
        <v>190.91249999999999</v>
      </c>
      <c r="BE39" s="63">
        <v>8</v>
      </c>
      <c r="BF39" s="63">
        <v>6</v>
      </c>
      <c r="BG39" s="64">
        <v>12</v>
      </c>
      <c r="BH39" s="62">
        <f t="shared" si="18"/>
        <v>1934.25</v>
      </c>
      <c r="BI39" s="62">
        <f t="shared" si="19"/>
        <v>193.3125</v>
      </c>
      <c r="BJ39" s="63">
        <v>12</v>
      </c>
      <c r="BK39" s="63">
        <v>9</v>
      </c>
      <c r="BL39" s="64">
        <v>14</v>
      </c>
      <c r="BM39" s="52">
        <v>5000</v>
      </c>
      <c r="BN39" s="62">
        <f t="shared" si="20"/>
        <v>1789.0874999999999</v>
      </c>
      <c r="BO39" s="52">
        <v>5000</v>
      </c>
      <c r="BP39" s="62">
        <f t="shared" si="21"/>
        <v>1646.2874999999999</v>
      </c>
      <c r="BQ39" s="52">
        <v>11000</v>
      </c>
      <c r="BR39" s="62">
        <f t="shared" si="22"/>
        <v>3308.7674999999999</v>
      </c>
      <c r="BS39" s="52">
        <v>60000</v>
      </c>
      <c r="BT39" s="62">
        <f t="shared" si="23"/>
        <v>13533</v>
      </c>
      <c r="BU39" s="62">
        <v>90</v>
      </c>
      <c r="BV39" s="62">
        <v>45.030000000000001</v>
      </c>
      <c r="BY39" s="62">
        <v>90</v>
      </c>
      <c r="BZ39" s="62">
        <v>45.030000000000001</v>
      </c>
      <c r="CC39" s="62">
        <v>305</v>
      </c>
      <c r="CD39" s="62">
        <v>24.050000000000001</v>
      </c>
      <c r="CG39" s="62">
        <v>305</v>
      </c>
      <c r="CH39" s="62">
        <v>24.050000000000001</v>
      </c>
      <c r="CK39" s="62">
        <v>125</v>
      </c>
      <c r="CL39" s="62">
        <v>125</v>
      </c>
      <c r="CM39" s="62">
        <v>125</v>
      </c>
      <c r="CN39" s="62">
        <v>125</v>
      </c>
      <c r="CO39" s="62">
        <v>125</v>
      </c>
      <c r="CP39" s="62">
        <v>125</v>
      </c>
      <c r="CQ39" s="62">
        <v>125</v>
      </c>
      <c r="CR39" s="62">
        <v>125</v>
      </c>
      <c r="CS39" s="130">
        <v>95</v>
      </c>
      <c r="CT39" s="130">
        <v>71</v>
      </c>
      <c r="CU39" s="51" t="s">
        <v>175</v>
      </c>
      <c r="CW39" s="130">
        <v>78.5</v>
      </c>
      <c r="CX39" s="130">
        <v>62.399999999999999</v>
      </c>
      <c r="CY39" s="51" t="s">
        <v>175</v>
      </c>
      <c r="DA39" s="130">
        <v>217.69999999999999</v>
      </c>
      <c r="DB39" s="130">
        <v>57</v>
      </c>
      <c r="DC39" s="51" t="s">
        <v>175</v>
      </c>
      <c r="DE39" s="130">
        <v>520</v>
      </c>
      <c r="DF39" s="130">
        <v>58</v>
      </c>
      <c r="DG39" s="51" t="s">
        <v>175</v>
      </c>
      <c r="DI39" s="62">
        <v>140</v>
      </c>
      <c r="DJ39" s="62">
        <v>140</v>
      </c>
      <c r="DK39" s="62">
        <v>140</v>
      </c>
      <c r="DL39" s="62">
        <v>140</v>
      </c>
      <c r="DM39" s="62">
        <v>140</v>
      </c>
      <c r="DN39" s="62">
        <v>140</v>
      </c>
      <c r="DO39" s="62">
        <v>140</v>
      </c>
      <c r="DP39" s="62">
        <v>140</v>
      </c>
    </row>
    <row r="40" s="62" customFormat="1" ht="15.75" customHeight="1">
      <c r="A40" s="52">
        <v>2000000</v>
      </c>
      <c r="B40" s="53" t="s">
        <v>157</v>
      </c>
      <c r="C40" s="75" t="s">
        <v>158</v>
      </c>
      <c r="D40" s="52">
        <v>2210000</v>
      </c>
      <c r="E40" s="126" t="s">
        <v>207</v>
      </c>
      <c r="F40" s="127" t="s">
        <v>208</v>
      </c>
      <c r="G40" s="55"/>
      <c r="H40" s="55"/>
      <c r="I40" s="53"/>
      <c r="J40" s="53"/>
      <c r="L40" s="53" t="s">
        <v>220</v>
      </c>
      <c r="M40" s="126" t="s">
        <v>207</v>
      </c>
      <c r="N40" s="129"/>
      <c r="O40" s="128" t="s">
        <v>211</v>
      </c>
      <c r="T40" s="129"/>
      <c r="U40" s="51" t="s">
        <v>212</v>
      </c>
      <c r="V40" s="51" t="s">
        <v>218</v>
      </c>
      <c r="W40" s="51" t="s">
        <v>182</v>
      </c>
      <c r="X40" s="129" t="s">
        <v>167</v>
      </c>
      <c r="Y40" s="51" t="s">
        <v>168</v>
      </c>
      <c r="Z40" s="62" t="s">
        <v>169</v>
      </c>
      <c r="AD40" s="51" t="s">
        <v>170</v>
      </c>
      <c r="AE40" s="62" t="s">
        <v>171</v>
      </c>
      <c r="AF40" s="62" t="s">
        <v>171</v>
      </c>
      <c r="AG40" s="57" t="s">
        <v>219</v>
      </c>
      <c r="AH40" s="57"/>
      <c r="AI40" s="57"/>
      <c r="AJ40" s="57"/>
      <c r="AK40" s="57"/>
      <c r="AN40" s="106" t="s">
        <v>174</v>
      </c>
      <c r="AO40" s="63">
        <v>500</v>
      </c>
      <c r="AP40" s="60">
        <v>100000</v>
      </c>
      <c r="AQ40" s="64">
        <v>15</v>
      </c>
      <c r="AR40" s="62" t="s">
        <v>92</v>
      </c>
      <c r="AS40" s="62">
        <f t="shared" si="12"/>
        <v>466.5</v>
      </c>
      <c r="AT40" s="62">
        <f t="shared" si="13"/>
        <v>294.75749999999999</v>
      </c>
      <c r="AU40" s="63">
        <v>7</v>
      </c>
      <c r="AV40" s="63">
        <v>5</v>
      </c>
      <c r="AW40" s="64">
        <v>24</v>
      </c>
      <c r="AX40" s="62">
        <f t="shared" si="14"/>
        <v>538.5</v>
      </c>
      <c r="AY40" s="62">
        <f t="shared" si="15"/>
        <v>269.3175</v>
      </c>
      <c r="AZ40" s="63">
        <v>7</v>
      </c>
      <c r="BA40" s="63">
        <v>5</v>
      </c>
      <c r="BB40" s="64">
        <v>15</v>
      </c>
      <c r="BC40" s="62">
        <f t="shared" si="16"/>
        <v>1334.25</v>
      </c>
      <c r="BD40" s="62">
        <f t="shared" si="17"/>
        <v>219.71249999999998</v>
      </c>
      <c r="BE40" s="63">
        <v>8</v>
      </c>
      <c r="BF40" s="63">
        <v>6</v>
      </c>
      <c r="BG40" s="64">
        <v>12</v>
      </c>
      <c r="BH40" s="62">
        <f t="shared" si="18"/>
        <v>2126.25</v>
      </c>
      <c r="BI40" s="62">
        <f t="shared" si="19"/>
        <v>217.3125</v>
      </c>
      <c r="BJ40" s="63">
        <v>12</v>
      </c>
      <c r="BK40" s="63">
        <v>9</v>
      </c>
      <c r="BL40" s="64">
        <v>14</v>
      </c>
      <c r="BM40" s="52">
        <v>4000</v>
      </c>
      <c r="BN40" s="62">
        <f t="shared" si="20"/>
        <v>1645.53</v>
      </c>
      <c r="BO40" s="52">
        <v>5000</v>
      </c>
      <c r="BP40" s="62">
        <f t="shared" si="21"/>
        <v>1885.0875000000001</v>
      </c>
      <c r="BQ40" s="52">
        <v>11000</v>
      </c>
      <c r="BR40" s="62">
        <f t="shared" si="22"/>
        <v>3751.0874999999996</v>
      </c>
      <c r="BS40" s="52">
        <v>50000</v>
      </c>
      <c r="BT40" s="62">
        <f t="shared" si="23"/>
        <v>12991.875</v>
      </c>
      <c r="BU40" s="62">
        <v>90</v>
      </c>
      <c r="BV40" s="62">
        <v>45.030000000000001</v>
      </c>
      <c r="BW40" s="51"/>
      <c r="BX40" s="51"/>
      <c r="BY40" s="62">
        <v>90</v>
      </c>
      <c r="BZ40" s="62">
        <v>45.030000000000001</v>
      </c>
      <c r="CA40" s="51"/>
      <c r="CB40" s="51"/>
      <c r="CC40" s="62">
        <v>305</v>
      </c>
      <c r="CD40" s="62">
        <v>24.050000000000001</v>
      </c>
      <c r="CE40" s="51"/>
      <c r="CF40" s="51"/>
      <c r="CG40" s="62">
        <v>305</v>
      </c>
      <c r="CH40" s="62">
        <v>24.050000000000001</v>
      </c>
      <c r="CK40" s="62">
        <v>125</v>
      </c>
      <c r="CL40" s="62">
        <v>125</v>
      </c>
      <c r="CM40" s="62">
        <v>125</v>
      </c>
      <c r="CN40" s="62">
        <v>125</v>
      </c>
      <c r="CO40" s="62">
        <v>125</v>
      </c>
      <c r="CP40" s="62">
        <v>125</v>
      </c>
      <c r="CQ40" s="62">
        <v>125</v>
      </c>
      <c r="CR40" s="62">
        <v>125</v>
      </c>
      <c r="CS40" s="62">
        <v>110</v>
      </c>
      <c r="CT40" s="62">
        <v>80.599999999999994</v>
      </c>
      <c r="CU40" s="51" t="s">
        <v>175</v>
      </c>
      <c r="CW40" s="62">
        <v>140</v>
      </c>
      <c r="CX40" s="62">
        <v>70</v>
      </c>
      <c r="CY40" s="51" t="s">
        <v>175</v>
      </c>
      <c r="DA40" s="62">
        <v>270</v>
      </c>
      <c r="DB40" s="62">
        <v>69</v>
      </c>
      <c r="DC40" s="51" t="s">
        <v>175</v>
      </c>
      <c r="DE40" s="62">
        <v>600</v>
      </c>
      <c r="DF40" s="62">
        <v>68</v>
      </c>
      <c r="DG40" s="51" t="s">
        <v>175</v>
      </c>
      <c r="DI40" s="62">
        <v>140</v>
      </c>
      <c r="DJ40" s="62">
        <v>140</v>
      </c>
      <c r="DK40" s="62">
        <v>140</v>
      </c>
      <c r="DL40" s="62">
        <v>140</v>
      </c>
      <c r="DM40" s="62">
        <v>140</v>
      </c>
      <c r="DN40" s="62">
        <v>140</v>
      </c>
      <c r="DO40" s="62">
        <v>140</v>
      </c>
      <c r="DP40" s="62">
        <v>140</v>
      </c>
    </row>
    <row r="41" s="132" customFormat="1" ht="15.75" customHeight="1">
      <c r="A41" s="133">
        <v>2000000</v>
      </c>
      <c r="B41" s="134" t="s">
        <v>157</v>
      </c>
      <c r="C41" s="75" t="s">
        <v>158</v>
      </c>
      <c r="D41" s="133">
        <v>2210000</v>
      </c>
      <c r="E41" s="126" t="s">
        <v>207</v>
      </c>
      <c r="F41" s="127" t="s">
        <v>208</v>
      </c>
      <c r="G41" s="135"/>
      <c r="H41" s="135"/>
      <c r="I41" s="134"/>
      <c r="J41" s="134"/>
      <c r="L41" s="134" t="s">
        <v>221</v>
      </c>
      <c r="M41" s="126" t="s">
        <v>207</v>
      </c>
      <c r="N41" s="136"/>
      <c r="O41" s="137" t="s">
        <v>211</v>
      </c>
      <c r="T41" s="136"/>
      <c r="U41" s="138" t="s">
        <v>212</v>
      </c>
      <c r="V41" s="138" t="s">
        <v>218</v>
      </c>
      <c r="W41" s="138" t="s">
        <v>182</v>
      </c>
      <c r="X41" s="136" t="s">
        <v>167</v>
      </c>
      <c r="Y41" s="138" t="s">
        <v>177</v>
      </c>
      <c r="Z41" s="132" t="s">
        <v>169</v>
      </c>
      <c r="AD41" s="138" t="s">
        <v>170</v>
      </c>
      <c r="AE41" s="132" t="s">
        <v>171</v>
      </c>
      <c r="AF41" s="132" t="s">
        <v>171</v>
      </c>
      <c r="AG41" s="139" t="s">
        <v>219</v>
      </c>
      <c r="AH41" s="139"/>
      <c r="AI41" s="139"/>
      <c r="AJ41" s="139"/>
      <c r="AK41" s="139"/>
      <c r="AN41" s="140" t="s">
        <v>174</v>
      </c>
      <c r="AO41" s="141">
        <v>500</v>
      </c>
      <c r="AP41" s="60">
        <v>100000</v>
      </c>
      <c r="AQ41" s="142">
        <v>22.100000000000001</v>
      </c>
      <c r="AR41" s="132" t="s">
        <v>206</v>
      </c>
      <c r="AS41" s="132">
        <f t="shared" si="12"/>
        <v>463.5</v>
      </c>
      <c r="AT41" s="132">
        <f t="shared" si="13"/>
        <v>380.17500000000001</v>
      </c>
      <c r="AU41" s="141">
        <v>7</v>
      </c>
      <c r="AV41" s="141">
        <v>5</v>
      </c>
      <c r="AW41" s="142">
        <v>24</v>
      </c>
      <c r="AX41" s="132">
        <f t="shared" si="14"/>
        <v>490.62</v>
      </c>
      <c r="AY41" s="132">
        <f t="shared" si="15"/>
        <v>343.45500000000004</v>
      </c>
      <c r="AZ41" s="141">
        <v>7</v>
      </c>
      <c r="BA41" s="141">
        <v>5</v>
      </c>
      <c r="BB41" s="142">
        <v>15</v>
      </c>
      <c r="BC41" s="132">
        <f t="shared" si="16"/>
        <v>1403.49</v>
      </c>
      <c r="BD41" s="132">
        <f t="shared" si="17"/>
        <v>285.9975</v>
      </c>
      <c r="BE41" s="141">
        <v>8</v>
      </c>
      <c r="BF41" s="141">
        <v>6</v>
      </c>
      <c r="BG41" s="142">
        <v>12</v>
      </c>
      <c r="BH41" s="132">
        <f t="shared" si="18"/>
        <v>1893.3299999999999</v>
      </c>
      <c r="BI41" s="132">
        <f t="shared" si="19"/>
        <v>285.9975</v>
      </c>
      <c r="BJ41" s="141">
        <v>12</v>
      </c>
      <c r="BK41" s="141">
        <v>9</v>
      </c>
      <c r="BL41" s="142">
        <v>14</v>
      </c>
      <c r="BM41" s="133">
        <v>4000</v>
      </c>
      <c r="BN41" s="132">
        <f t="shared" si="20"/>
        <v>1984.2</v>
      </c>
      <c r="BO41" s="133">
        <v>10000</v>
      </c>
      <c r="BP41" s="132">
        <f t="shared" si="21"/>
        <v>3925.1700000000005</v>
      </c>
      <c r="BQ41" s="133">
        <v>10200</v>
      </c>
      <c r="BR41" s="132">
        <f t="shared" si="22"/>
        <v>4320.6644999999999</v>
      </c>
      <c r="BS41" s="133">
        <v>60000</v>
      </c>
      <c r="BT41" s="132">
        <f t="shared" si="23"/>
        <v>19053.18</v>
      </c>
      <c r="BU41" s="132">
        <v>110</v>
      </c>
      <c r="BV41" s="132">
        <v>71.900000000000006</v>
      </c>
      <c r="BW41" s="138"/>
      <c r="BX41" s="138"/>
      <c r="BY41" s="132">
        <v>110</v>
      </c>
      <c r="BZ41" s="132">
        <v>71.900000000000006</v>
      </c>
      <c r="CA41" s="138"/>
      <c r="CB41" s="138"/>
      <c r="CC41" s="132">
        <v>325</v>
      </c>
      <c r="CD41" s="132">
        <v>50.310000000000002</v>
      </c>
      <c r="CE41" s="138"/>
      <c r="CF41" s="138"/>
      <c r="CG41" s="132">
        <v>325</v>
      </c>
      <c r="CH41" s="132">
        <v>50.310000000000002</v>
      </c>
      <c r="CK41" s="132">
        <v>125</v>
      </c>
      <c r="CL41" s="132">
        <v>125</v>
      </c>
      <c r="CM41" s="132">
        <v>125</v>
      </c>
      <c r="CN41" s="132">
        <v>125</v>
      </c>
      <c r="CO41" s="132">
        <v>125</v>
      </c>
      <c r="CP41" s="132">
        <v>125</v>
      </c>
      <c r="CQ41" s="132">
        <v>125</v>
      </c>
      <c r="CR41" s="132">
        <v>125</v>
      </c>
      <c r="CS41" s="132">
        <v>90</v>
      </c>
      <c r="CT41" s="132">
        <v>91</v>
      </c>
      <c r="CU41" s="138" t="s">
        <v>175</v>
      </c>
      <c r="CW41" s="132">
        <v>101.3</v>
      </c>
      <c r="CX41" s="132">
        <v>75.700000000000003</v>
      </c>
      <c r="CY41" s="138" t="s">
        <v>175</v>
      </c>
      <c r="DA41" s="132">
        <v>280.10000000000002</v>
      </c>
      <c r="DB41" s="132">
        <v>72</v>
      </c>
      <c r="DC41" s="138" t="s">
        <v>175</v>
      </c>
      <c r="DE41" s="132">
        <v>484.19999999999999</v>
      </c>
      <c r="DF41" s="132">
        <v>72</v>
      </c>
      <c r="DG41" s="138" t="s">
        <v>175</v>
      </c>
      <c r="DI41" s="132">
        <v>140</v>
      </c>
      <c r="DJ41" s="132">
        <v>140</v>
      </c>
      <c r="DK41" s="132">
        <v>140</v>
      </c>
      <c r="DL41" s="132">
        <v>140</v>
      </c>
      <c r="DM41" s="132">
        <v>140</v>
      </c>
      <c r="DN41" s="132">
        <v>140</v>
      </c>
      <c r="DO41" s="132">
        <v>140</v>
      </c>
      <c r="DP41" s="132">
        <v>140</v>
      </c>
    </row>
    <row r="42" s="62" customFormat="1" ht="15.75" customHeight="1">
      <c r="A42" s="52">
        <v>2000000</v>
      </c>
      <c r="B42" s="53" t="s">
        <v>157</v>
      </c>
      <c r="C42" s="75" t="s">
        <v>158</v>
      </c>
      <c r="D42" s="52">
        <v>2210000</v>
      </c>
      <c r="E42" s="126" t="s">
        <v>207</v>
      </c>
      <c r="F42" s="127" t="s">
        <v>208</v>
      </c>
      <c r="G42" s="55"/>
      <c r="H42" s="55"/>
      <c r="I42" s="53"/>
      <c r="J42" s="53"/>
      <c r="L42" s="53" t="s">
        <v>222</v>
      </c>
      <c r="M42" s="126" t="s">
        <v>207</v>
      </c>
      <c r="N42" s="128" t="s">
        <v>223</v>
      </c>
      <c r="O42" s="128" t="s">
        <v>211</v>
      </c>
      <c r="T42" s="129"/>
      <c r="U42" s="51" t="s">
        <v>212</v>
      </c>
      <c r="V42" s="51" t="s">
        <v>224</v>
      </c>
      <c r="W42" s="51" t="s">
        <v>193</v>
      </c>
      <c r="X42" s="129" t="s">
        <v>167</v>
      </c>
      <c r="Y42" s="51" t="s">
        <v>183</v>
      </c>
      <c r="Z42" s="62" t="s">
        <v>169</v>
      </c>
      <c r="AD42" s="51" t="s">
        <v>170</v>
      </c>
      <c r="AE42" s="62" t="s">
        <v>171</v>
      </c>
      <c r="AF42" s="62" t="s">
        <v>171</v>
      </c>
      <c r="AG42" s="57" t="s">
        <v>219</v>
      </c>
      <c r="AH42" s="57"/>
      <c r="AI42" s="57"/>
      <c r="AJ42" s="57"/>
      <c r="AK42" s="57"/>
      <c r="AN42" s="106" t="s">
        <v>174</v>
      </c>
      <c r="AO42" s="63">
        <v>500</v>
      </c>
      <c r="AP42" s="60">
        <v>100000</v>
      </c>
      <c r="AQ42" s="64">
        <v>15.699999999999999</v>
      </c>
      <c r="AR42" s="62" t="s">
        <v>92</v>
      </c>
      <c r="AS42" s="62">
        <f t="shared" si="12"/>
        <v>514.5</v>
      </c>
      <c r="AT42" s="62">
        <f t="shared" si="13"/>
        <v>341.3175</v>
      </c>
      <c r="AU42" s="63">
        <v>7</v>
      </c>
      <c r="AV42" s="63">
        <v>5</v>
      </c>
      <c r="AW42" s="64">
        <v>24</v>
      </c>
      <c r="AX42" s="62">
        <f t="shared" si="14"/>
        <v>586.5</v>
      </c>
      <c r="AY42" s="62">
        <f t="shared" si="15"/>
        <v>317.3175</v>
      </c>
      <c r="AZ42" s="63">
        <v>7</v>
      </c>
      <c r="BA42" s="63">
        <v>5</v>
      </c>
      <c r="BB42" s="64">
        <v>15</v>
      </c>
      <c r="BC42" s="62">
        <f t="shared" si="16"/>
        <v>1502.25</v>
      </c>
      <c r="BD42" s="62">
        <f t="shared" si="17"/>
        <v>255.71250000000001</v>
      </c>
      <c r="BE42" s="63">
        <v>8</v>
      </c>
      <c r="BF42" s="63">
        <v>6</v>
      </c>
      <c r="BG42" s="64">
        <v>12</v>
      </c>
      <c r="BH42" s="62">
        <f t="shared" si="18"/>
        <v>2440.4099999999999</v>
      </c>
      <c r="BI42" s="62">
        <f t="shared" si="19"/>
        <v>249.71250000000001</v>
      </c>
      <c r="BJ42" s="63">
        <v>12</v>
      </c>
      <c r="BK42" s="63">
        <v>9</v>
      </c>
      <c r="BL42" s="64">
        <v>14</v>
      </c>
      <c r="BM42" s="52">
        <v>4000</v>
      </c>
      <c r="BN42" s="62">
        <f t="shared" si="20"/>
        <v>1879.77</v>
      </c>
      <c r="BO42" s="52">
        <v>10000</v>
      </c>
      <c r="BP42" s="62">
        <f t="shared" si="21"/>
        <v>3759.6750000000002</v>
      </c>
      <c r="BQ42" s="52">
        <v>11000</v>
      </c>
      <c r="BR42" s="62">
        <f t="shared" si="22"/>
        <v>4315.0874999999996</v>
      </c>
      <c r="BS42" s="52">
        <v>60000</v>
      </c>
      <c r="BT42" s="62">
        <f t="shared" si="23"/>
        <v>17423.16</v>
      </c>
      <c r="BU42" s="62">
        <v>90</v>
      </c>
      <c r="BV42" s="62">
        <v>45.030000000000001</v>
      </c>
      <c r="BW42" s="51"/>
      <c r="BX42" s="51"/>
      <c r="BY42" s="62">
        <v>90</v>
      </c>
      <c r="BZ42" s="62">
        <v>45.030000000000001</v>
      </c>
      <c r="CA42" s="51"/>
      <c r="CB42" s="51"/>
      <c r="CC42" s="62">
        <v>305</v>
      </c>
      <c r="CD42" s="62">
        <v>24.050000000000001</v>
      </c>
      <c r="CE42" s="51"/>
      <c r="CF42" s="51"/>
      <c r="CG42" s="62">
        <v>305</v>
      </c>
      <c r="CH42" s="62">
        <v>24.050000000000001</v>
      </c>
      <c r="CK42" s="62">
        <v>125</v>
      </c>
      <c r="CL42" s="62">
        <v>125</v>
      </c>
      <c r="CM42" s="62">
        <v>125</v>
      </c>
      <c r="CN42" s="62">
        <v>125</v>
      </c>
      <c r="CO42" s="62">
        <v>125</v>
      </c>
      <c r="CP42" s="62">
        <v>125</v>
      </c>
      <c r="CQ42" s="62">
        <v>125</v>
      </c>
      <c r="CR42" s="62">
        <v>125</v>
      </c>
      <c r="CS42" s="62">
        <v>130</v>
      </c>
      <c r="CT42" s="62">
        <v>100</v>
      </c>
      <c r="CU42" s="51" t="s">
        <v>175</v>
      </c>
      <c r="CW42" s="62">
        <v>160</v>
      </c>
      <c r="CX42" s="62">
        <v>90</v>
      </c>
      <c r="CY42" s="51" t="s">
        <v>175</v>
      </c>
      <c r="DA42" s="62">
        <v>340</v>
      </c>
      <c r="DB42" s="62">
        <v>84</v>
      </c>
      <c r="DC42" s="51" t="s">
        <v>175</v>
      </c>
      <c r="DE42" s="62">
        <v>730.89999999999998</v>
      </c>
      <c r="DF42" s="62">
        <v>81.5</v>
      </c>
      <c r="DG42" s="51" t="s">
        <v>175</v>
      </c>
      <c r="DI42" s="62">
        <v>140</v>
      </c>
      <c r="DJ42" s="62">
        <v>140</v>
      </c>
      <c r="DK42" s="62">
        <v>140</v>
      </c>
      <c r="DL42" s="62">
        <v>140</v>
      </c>
      <c r="DM42" s="62">
        <v>140</v>
      </c>
      <c r="DN42" s="62">
        <v>140</v>
      </c>
      <c r="DO42" s="62">
        <v>140</v>
      </c>
      <c r="DP42" s="62">
        <v>140</v>
      </c>
    </row>
    <row r="43" s="76" customFormat="1" ht="15.75" customHeight="1">
      <c r="A43" s="71">
        <v>2000000</v>
      </c>
      <c r="B43" s="72" t="s">
        <v>157</v>
      </c>
      <c r="C43" s="75" t="s">
        <v>158</v>
      </c>
      <c r="D43" s="71">
        <v>2220000</v>
      </c>
      <c r="E43" s="73" t="s">
        <v>225</v>
      </c>
      <c r="F43" s="108" t="s">
        <v>226</v>
      </c>
      <c r="G43" s="74"/>
      <c r="H43" s="74"/>
      <c r="I43" s="72"/>
      <c r="J43" s="72"/>
      <c r="L43" s="72" t="s">
        <v>227</v>
      </c>
      <c r="M43" s="73" t="s">
        <v>225</v>
      </c>
      <c r="N43" s="143" t="s">
        <v>228</v>
      </c>
      <c r="O43" s="143"/>
      <c r="T43" s="77"/>
      <c r="U43" s="76" t="s">
        <v>212</v>
      </c>
      <c r="V43" s="76" t="s">
        <v>229</v>
      </c>
      <c r="W43" s="76" t="s">
        <v>230</v>
      </c>
      <c r="X43" s="77" t="s">
        <v>167</v>
      </c>
      <c r="Y43" s="76" t="s">
        <v>183</v>
      </c>
      <c r="Z43" s="76" t="s">
        <v>169</v>
      </c>
      <c r="AD43" s="76" t="s">
        <v>170</v>
      </c>
      <c r="AE43" s="76" t="s">
        <v>171</v>
      </c>
      <c r="AF43" s="76" t="s">
        <v>171</v>
      </c>
      <c r="AG43" s="77" t="s">
        <v>231</v>
      </c>
      <c r="AH43" s="77"/>
      <c r="AI43" s="77"/>
      <c r="AJ43" s="77"/>
      <c r="AK43" s="77"/>
      <c r="AL43" s="111" t="s">
        <v>173</v>
      </c>
      <c r="AN43" s="99" t="s">
        <v>174</v>
      </c>
      <c r="AO43" s="76">
        <v>500</v>
      </c>
      <c r="AP43" s="82">
        <v>100000</v>
      </c>
      <c r="AQ43" s="86">
        <v>12.9</v>
      </c>
      <c r="AR43" s="76" t="s">
        <v>92</v>
      </c>
      <c r="AS43" s="84">
        <f t="shared" si="12"/>
        <v>713.54999999999995</v>
      </c>
      <c r="AT43" s="84">
        <f t="shared" si="13"/>
        <v>222.72</v>
      </c>
      <c r="AU43" s="85">
        <v>7</v>
      </c>
      <c r="AV43" s="85">
        <v>5</v>
      </c>
      <c r="AW43" s="86">
        <v>24</v>
      </c>
      <c r="AX43" s="84">
        <f t="shared" si="14"/>
        <v>1110.8099999999999</v>
      </c>
      <c r="AY43" s="84">
        <f t="shared" si="15"/>
        <v>167.02500000000001</v>
      </c>
      <c r="AZ43" s="85">
        <v>7</v>
      </c>
      <c r="BA43" s="85">
        <v>5</v>
      </c>
      <c r="BB43" s="86">
        <v>15</v>
      </c>
      <c r="BC43" s="84">
        <f t="shared" si="16"/>
        <v>1173.6899999999998</v>
      </c>
      <c r="BD43" s="84">
        <f t="shared" si="17"/>
        <v>167.02500000000001</v>
      </c>
      <c r="BE43" s="85">
        <v>8</v>
      </c>
      <c r="BF43" s="85">
        <v>6</v>
      </c>
      <c r="BG43" s="86">
        <v>12</v>
      </c>
      <c r="BH43" s="84">
        <f t="shared" si="18"/>
        <v>1683.45</v>
      </c>
      <c r="BI43" s="84">
        <f t="shared" si="19"/>
        <v>161.28899999999999</v>
      </c>
      <c r="BJ43" s="85">
        <v>12</v>
      </c>
      <c r="BK43" s="85">
        <v>9</v>
      </c>
      <c r="BL43" s="86">
        <v>14</v>
      </c>
      <c r="BM43" s="71">
        <v>10000</v>
      </c>
      <c r="BN43" s="84">
        <f t="shared" si="20"/>
        <v>2940.75</v>
      </c>
      <c r="BO43" s="71">
        <v>20000</v>
      </c>
      <c r="BP43" s="84">
        <f t="shared" si="21"/>
        <v>4451.3099999999995</v>
      </c>
      <c r="BQ43" s="71">
        <v>20000</v>
      </c>
      <c r="BR43" s="84">
        <f t="shared" si="22"/>
        <v>4514.1899999999996</v>
      </c>
      <c r="BS43" s="71">
        <v>60000</v>
      </c>
      <c r="BT43" s="84">
        <f t="shared" si="23"/>
        <v>11360.790000000001</v>
      </c>
      <c r="BU43" s="84">
        <v>275</v>
      </c>
      <c r="BV43" s="84">
        <v>51.200000000000003</v>
      </c>
      <c r="BY43" s="84">
        <v>409</v>
      </c>
      <c r="BZ43" s="84">
        <v>30.5</v>
      </c>
      <c r="CC43" s="84">
        <v>409</v>
      </c>
      <c r="CD43" s="84">
        <v>30.5</v>
      </c>
      <c r="CG43" s="84">
        <v>409</v>
      </c>
      <c r="CH43" s="84">
        <v>30.5</v>
      </c>
      <c r="CI43" s="84"/>
      <c r="CJ43" s="84"/>
      <c r="CK43" s="84">
        <v>125</v>
      </c>
      <c r="CL43" s="84">
        <v>125</v>
      </c>
      <c r="CM43" s="84">
        <v>125</v>
      </c>
      <c r="CN43" s="84">
        <v>125</v>
      </c>
      <c r="CO43" s="84">
        <v>125</v>
      </c>
      <c r="CP43" s="84">
        <v>125</v>
      </c>
      <c r="CQ43" s="84">
        <v>125</v>
      </c>
      <c r="CR43" s="84">
        <v>125</v>
      </c>
      <c r="CS43" s="84">
        <v>39.5</v>
      </c>
      <c r="CT43" s="84">
        <v>44.799999999999997</v>
      </c>
      <c r="CU43" s="76" t="s">
        <v>175</v>
      </c>
      <c r="CV43" s="84"/>
      <c r="CW43" s="84">
        <v>79.400000000000006</v>
      </c>
      <c r="CX43" s="84">
        <v>41</v>
      </c>
      <c r="CY43" s="76" t="s">
        <v>175</v>
      </c>
      <c r="CZ43" s="84"/>
      <c r="DA43" s="84">
        <v>105.59999999999999</v>
      </c>
      <c r="DB43" s="84">
        <v>41</v>
      </c>
      <c r="DC43" s="76" t="s">
        <v>175</v>
      </c>
      <c r="DD43" s="84"/>
      <c r="DE43" s="84">
        <v>318</v>
      </c>
      <c r="DF43" s="84">
        <v>38.609999999999999</v>
      </c>
      <c r="DG43" s="76" t="s">
        <v>232</v>
      </c>
      <c r="DH43" s="84"/>
      <c r="DI43" s="84">
        <v>140</v>
      </c>
      <c r="DJ43" s="84">
        <v>140</v>
      </c>
      <c r="DK43" s="84">
        <v>140</v>
      </c>
      <c r="DL43" s="84">
        <v>140</v>
      </c>
      <c r="DM43" s="84">
        <v>140</v>
      </c>
      <c r="DN43" s="84">
        <v>140</v>
      </c>
      <c r="DO43" s="84">
        <v>140</v>
      </c>
      <c r="DP43" s="84">
        <v>140</v>
      </c>
    </row>
    <row r="44" s="76" customFormat="1" ht="15.75" customHeight="1">
      <c r="A44" s="71">
        <v>2000000</v>
      </c>
      <c r="B44" s="72" t="s">
        <v>157</v>
      </c>
      <c r="C44" s="75" t="s">
        <v>158</v>
      </c>
      <c r="D44" s="71">
        <v>2220000</v>
      </c>
      <c r="E44" s="73" t="s">
        <v>225</v>
      </c>
      <c r="F44" s="108" t="s">
        <v>226</v>
      </c>
      <c r="G44" s="74"/>
      <c r="H44" s="74"/>
      <c r="I44" s="72"/>
      <c r="J44" s="72"/>
      <c r="L44" s="72" t="s">
        <v>233</v>
      </c>
      <c r="M44" s="73" t="s">
        <v>225</v>
      </c>
      <c r="N44" s="77"/>
      <c r="O44" s="77"/>
      <c r="T44" s="77"/>
      <c r="U44" s="76" t="s">
        <v>212</v>
      </c>
      <c r="V44" s="76" t="s">
        <v>229</v>
      </c>
      <c r="W44" s="76" t="s">
        <v>230</v>
      </c>
      <c r="X44" s="77" t="s">
        <v>167</v>
      </c>
      <c r="Y44" s="76" t="s">
        <v>168</v>
      </c>
      <c r="Z44" s="76" t="s">
        <v>169</v>
      </c>
      <c r="AD44" s="76" t="s">
        <v>170</v>
      </c>
      <c r="AE44" s="76" t="s">
        <v>171</v>
      </c>
      <c r="AF44" s="76" t="s">
        <v>171</v>
      </c>
      <c r="AG44" s="77" t="s">
        <v>231</v>
      </c>
      <c r="AH44" s="77"/>
      <c r="AI44" s="77"/>
      <c r="AJ44" s="77"/>
      <c r="AK44" s="77"/>
      <c r="AL44" s="111" t="s">
        <v>173</v>
      </c>
      <c r="AN44" s="99" t="s">
        <v>174</v>
      </c>
      <c r="AO44" s="76">
        <v>500</v>
      </c>
      <c r="AP44" s="82">
        <v>100000</v>
      </c>
      <c r="AQ44" s="86">
        <v>16.300000000000001</v>
      </c>
      <c r="AR44" s="76" t="s">
        <v>92</v>
      </c>
      <c r="AS44" s="84">
        <f t="shared" si="12"/>
        <v>724.11000000000001</v>
      </c>
      <c r="AT44" s="84">
        <f t="shared" si="13"/>
        <v>278.63999999999999</v>
      </c>
      <c r="AU44" s="85">
        <v>7</v>
      </c>
      <c r="AV44" s="85">
        <v>5</v>
      </c>
      <c r="AW44" s="86">
        <v>24</v>
      </c>
      <c r="AX44" s="84">
        <f t="shared" si="14"/>
        <v>1215.9300000000001</v>
      </c>
      <c r="AY44" s="84">
        <f t="shared" si="15"/>
        <v>184.54500000000002</v>
      </c>
      <c r="AZ44" s="85">
        <v>7</v>
      </c>
      <c r="BA44" s="85">
        <v>5</v>
      </c>
      <c r="BB44" s="86">
        <v>15</v>
      </c>
      <c r="BC44" s="84">
        <f t="shared" si="16"/>
        <v>1142.01</v>
      </c>
      <c r="BD44" s="84">
        <f t="shared" si="17"/>
        <v>200.38499999999999</v>
      </c>
      <c r="BE44" s="85">
        <v>8</v>
      </c>
      <c r="BF44" s="85">
        <v>6</v>
      </c>
      <c r="BG44" s="86">
        <v>12</v>
      </c>
      <c r="BH44" s="84">
        <f t="shared" si="18"/>
        <v>1683.45</v>
      </c>
      <c r="BI44" s="84">
        <f t="shared" si="19"/>
        <v>181.017</v>
      </c>
      <c r="BJ44" s="85">
        <v>12</v>
      </c>
      <c r="BK44" s="85">
        <v>9</v>
      </c>
      <c r="BL44" s="86">
        <v>14</v>
      </c>
      <c r="BM44" s="71">
        <v>10500</v>
      </c>
      <c r="BN44" s="84">
        <f t="shared" si="20"/>
        <v>3649.8299999999999</v>
      </c>
      <c r="BO44" s="71">
        <v>6304</v>
      </c>
      <c r="BP44" s="84">
        <f t="shared" si="21"/>
        <v>2379.3016800000005</v>
      </c>
      <c r="BQ44" s="71">
        <v>11000</v>
      </c>
      <c r="BR44" s="84">
        <f t="shared" si="22"/>
        <v>3346.2449999999999</v>
      </c>
      <c r="BS44" s="71">
        <v>60000</v>
      </c>
      <c r="BT44" s="84">
        <f t="shared" si="23"/>
        <v>12544.470000000001</v>
      </c>
      <c r="BU44" s="84">
        <v>275</v>
      </c>
      <c r="BV44" s="84">
        <v>51.200000000000003</v>
      </c>
      <c r="BY44" s="84">
        <v>409</v>
      </c>
      <c r="BZ44" s="84">
        <v>30.5</v>
      </c>
      <c r="CC44" s="84">
        <v>409</v>
      </c>
      <c r="CD44" s="84">
        <v>30.5</v>
      </c>
      <c r="CG44" s="84">
        <v>409</v>
      </c>
      <c r="CH44" s="84">
        <v>30.5</v>
      </c>
      <c r="CI44" s="84"/>
      <c r="CJ44" s="84"/>
      <c r="CK44" s="84">
        <v>125</v>
      </c>
      <c r="CL44" s="84">
        <v>125</v>
      </c>
      <c r="CM44" s="84">
        <v>125</v>
      </c>
      <c r="CN44" s="84">
        <v>125</v>
      </c>
      <c r="CO44" s="84">
        <v>125</v>
      </c>
      <c r="CP44" s="84">
        <v>125</v>
      </c>
      <c r="CQ44" s="84">
        <v>125</v>
      </c>
      <c r="CR44" s="84">
        <v>125</v>
      </c>
      <c r="CS44" s="84">
        <v>43.899999999999999</v>
      </c>
      <c r="CT44" s="84">
        <v>68.099999999999994</v>
      </c>
      <c r="CU44" s="76" t="s">
        <v>175</v>
      </c>
      <c r="CV44" s="84"/>
      <c r="CW44" s="84">
        <v>123.2</v>
      </c>
      <c r="CX44" s="84">
        <v>48.299999999999997</v>
      </c>
      <c r="CY44" s="76" t="s">
        <v>175</v>
      </c>
      <c r="CZ44" s="84"/>
      <c r="DA44" s="84">
        <v>92.400000000000006</v>
      </c>
      <c r="DB44" s="84">
        <v>54.899999999999999</v>
      </c>
      <c r="DC44" s="76" t="s">
        <v>175</v>
      </c>
      <c r="DD44" s="84"/>
      <c r="DE44" s="84">
        <v>318</v>
      </c>
      <c r="DF44" s="84">
        <v>46.829999999999998</v>
      </c>
      <c r="DG44" s="76" t="s">
        <v>232</v>
      </c>
      <c r="DH44" s="84"/>
      <c r="DI44" s="84">
        <v>140</v>
      </c>
      <c r="DJ44" s="84">
        <v>140</v>
      </c>
      <c r="DK44" s="84">
        <v>140</v>
      </c>
      <c r="DL44" s="84">
        <v>140</v>
      </c>
      <c r="DM44" s="84">
        <v>140</v>
      </c>
      <c r="DN44" s="84">
        <v>140</v>
      </c>
      <c r="DO44" s="84">
        <v>140</v>
      </c>
      <c r="DP44" s="84">
        <v>140</v>
      </c>
    </row>
    <row r="45" s="113" customFormat="1" ht="15.75" customHeight="1">
      <c r="A45" s="114">
        <v>2000000</v>
      </c>
      <c r="B45" s="115" t="s">
        <v>157</v>
      </c>
      <c r="C45" s="75" t="s">
        <v>158</v>
      </c>
      <c r="D45" s="114">
        <v>2220000</v>
      </c>
      <c r="E45" s="144" t="s">
        <v>225</v>
      </c>
      <c r="F45" s="108" t="s">
        <v>226</v>
      </c>
      <c r="G45" s="117"/>
      <c r="H45" s="117"/>
      <c r="I45" s="115"/>
      <c r="J45" s="115"/>
      <c r="L45" s="115" t="s">
        <v>234</v>
      </c>
      <c r="M45" s="144" t="s">
        <v>225</v>
      </c>
      <c r="N45" s="120"/>
      <c r="O45" s="120"/>
      <c r="T45" s="120"/>
      <c r="U45" s="113" t="s">
        <v>212</v>
      </c>
      <c r="V45" s="113" t="s">
        <v>229</v>
      </c>
      <c r="W45" s="113" t="s">
        <v>230</v>
      </c>
      <c r="X45" s="120" t="s">
        <v>167</v>
      </c>
      <c r="Y45" s="113" t="s">
        <v>177</v>
      </c>
      <c r="Z45" s="113" t="s">
        <v>169</v>
      </c>
      <c r="AD45" s="113" t="s">
        <v>170</v>
      </c>
      <c r="AE45" s="113" t="s">
        <v>171</v>
      </c>
      <c r="AF45" s="113" t="s">
        <v>171</v>
      </c>
      <c r="AG45" s="120" t="s">
        <v>231</v>
      </c>
      <c r="AH45" s="120"/>
      <c r="AI45" s="120"/>
      <c r="AJ45" s="120"/>
      <c r="AK45" s="120"/>
      <c r="AL45" s="111" t="s">
        <v>173</v>
      </c>
      <c r="AN45" s="121" t="s">
        <v>174</v>
      </c>
      <c r="AO45" s="113">
        <v>500</v>
      </c>
      <c r="AP45" s="82">
        <v>100000</v>
      </c>
      <c r="AQ45" s="123">
        <v>23.899999999999999</v>
      </c>
      <c r="AR45" s="113" t="s">
        <v>206</v>
      </c>
      <c r="AS45" s="124">
        <f t="shared" si="12"/>
        <v>795.26999999999998</v>
      </c>
      <c r="AT45" s="124">
        <f t="shared" si="13"/>
        <v>393.16500000000002</v>
      </c>
      <c r="AU45" s="122">
        <v>7</v>
      </c>
      <c r="AV45" s="122">
        <v>5</v>
      </c>
      <c r="AW45" s="123">
        <v>24</v>
      </c>
      <c r="AX45" s="124">
        <f t="shared" si="14"/>
        <v>1361.25</v>
      </c>
      <c r="AY45" s="124">
        <f t="shared" si="15"/>
        <v>283.71000000000004</v>
      </c>
      <c r="AZ45" s="122">
        <v>7</v>
      </c>
      <c r="BA45" s="122">
        <v>5</v>
      </c>
      <c r="BB45" s="123">
        <v>15</v>
      </c>
      <c r="BC45" s="124">
        <f t="shared" si="16"/>
        <v>1257.8100000000002</v>
      </c>
      <c r="BD45" s="124">
        <f t="shared" si="17"/>
        <v>306.75</v>
      </c>
      <c r="BE45" s="122">
        <v>8</v>
      </c>
      <c r="BF45" s="122">
        <v>6</v>
      </c>
      <c r="BG45" s="123">
        <v>12</v>
      </c>
      <c r="BH45" s="124">
        <f t="shared" si="18"/>
        <v>1728.45</v>
      </c>
      <c r="BI45" s="124">
        <f t="shared" si="19"/>
        <v>290.28599999999994</v>
      </c>
      <c r="BJ45" s="122">
        <v>12</v>
      </c>
      <c r="BK45" s="122">
        <v>9</v>
      </c>
      <c r="BL45" s="123">
        <v>14</v>
      </c>
      <c r="BM45" s="114">
        <v>5000</v>
      </c>
      <c r="BN45" s="124">
        <f t="shared" si="20"/>
        <v>2761.0950000000003</v>
      </c>
      <c r="BO45" s="114">
        <v>5000</v>
      </c>
      <c r="BP45" s="124">
        <f t="shared" si="21"/>
        <v>2779.8000000000002</v>
      </c>
      <c r="BQ45" s="114">
        <v>11000</v>
      </c>
      <c r="BR45" s="124">
        <f t="shared" si="22"/>
        <v>4632.0600000000004</v>
      </c>
      <c r="BS45" s="114">
        <v>60000</v>
      </c>
      <c r="BT45" s="124">
        <f t="shared" si="23"/>
        <v>19145.609999999997</v>
      </c>
      <c r="BU45" s="124">
        <v>295</v>
      </c>
      <c r="BV45" s="124">
        <v>77.459999999999994</v>
      </c>
      <c r="BY45" s="124">
        <v>429</v>
      </c>
      <c r="BZ45" s="124">
        <v>56.759999999999998</v>
      </c>
      <c r="CC45" s="124">
        <v>429</v>
      </c>
      <c r="CD45" s="124">
        <v>56.759999999999998</v>
      </c>
      <c r="CG45" s="124">
        <v>429</v>
      </c>
      <c r="CH45" s="124">
        <v>56.759999999999998</v>
      </c>
      <c r="CI45" s="124"/>
      <c r="CJ45" s="124"/>
      <c r="CK45" s="124">
        <v>125</v>
      </c>
      <c r="CL45" s="124">
        <v>125</v>
      </c>
      <c r="CM45" s="124">
        <v>125</v>
      </c>
      <c r="CN45" s="124">
        <v>125</v>
      </c>
      <c r="CO45" s="124">
        <v>125</v>
      </c>
      <c r="CP45" s="124">
        <v>125</v>
      </c>
      <c r="CQ45" s="124">
        <v>125</v>
      </c>
      <c r="CR45" s="124">
        <v>125</v>
      </c>
      <c r="CS45" s="124">
        <v>54.799999999999997</v>
      </c>
      <c r="CT45" s="124">
        <v>91.200000000000003</v>
      </c>
      <c r="CU45" s="113" t="s">
        <v>175</v>
      </c>
      <c r="CV45" s="124"/>
      <c r="CW45" s="124">
        <v>165</v>
      </c>
      <c r="CX45" s="124">
        <v>65</v>
      </c>
      <c r="CY45" s="113" t="s">
        <v>175</v>
      </c>
      <c r="CZ45" s="124"/>
      <c r="DA45" s="124">
        <v>121.90000000000001</v>
      </c>
      <c r="DB45" s="124">
        <v>74.599999999999994</v>
      </c>
      <c r="DC45" s="113" t="s">
        <v>175</v>
      </c>
      <c r="DD45" s="124"/>
      <c r="DE45" s="124">
        <v>318</v>
      </c>
      <c r="DF45" s="124">
        <v>67.739999999999995</v>
      </c>
      <c r="DG45" s="113" t="s">
        <v>232</v>
      </c>
      <c r="DH45" s="124"/>
      <c r="DI45" s="124">
        <v>140</v>
      </c>
      <c r="DJ45" s="124">
        <v>140</v>
      </c>
      <c r="DK45" s="124">
        <v>140</v>
      </c>
      <c r="DL45" s="124">
        <v>140</v>
      </c>
      <c r="DM45" s="124">
        <v>140</v>
      </c>
      <c r="DN45" s="124">
        <v>140</v>
      </c>
      <c r="DO45" s="124">
        <v>140</v>
      </c>
      <c r="DP45" s="124">
        <v>140</v>
      </c>
    </row>
    <row r="46" s="113" customFormat="1" ht="15.75" customHeight="1">
      <c r="A46" s="114">
        <v>2000000</v>
      </c>
      <c r="B46" s="115" t="s">
        <v>157</v>
      </c>
      <c r="C46" s="75" t="s">
        <v>158</v>
      </c>
      <c r="D46" s="114">
        <v>2220000</v>
      </c>
      <c r="E46" s="144" t="s">
        <v>225</v>
      </c>
      <c r="F46" s="108" t="s">
        <v>226</v>
      </c>
      <c r="G46" s="117"/>
      <c r="H46" s="117"/>
      <c r="I46" s="115"/>
      <c r="J46" s="115"/>
      <c r="L46" s="115" t="s">
        <v>235</v>
      </c>
      <c r="M46" s="144" t="s">
        <v>225</v>
      </c>
      <c r="N46" s="120"/>
      <c r="O46" s="120"/>
      <c r="T46" s="120"/>
      <c r="U46" s="113" t="s">
        <v>212</v>
      </c>
      <c r="V46" s="113" t="s">
        <v>229</v>
      </c>
      <c r="W46" s="113" t="s">
        <v>230</v>
      </c>
      <c r="X46" s="120" t="s">
        <v>167</v>
      </c>
      <c r="Y46" s="113" t="s">
        <v>177</v>
      </c>
      <c r="Z46" s="113" t="s">
        <v>169</v>
      </c>
      <c r="AD46" s="113" t="s">
        <v>170</v>
      </c>
      <c r="AE46" s="113" t="s">
        <v>171</v>
      </c>
      <c r="AF46" s="113" t="s">
        <v>171</v>
      </c>
      <c r="AG46" s="120" t="s">
        <v>231</v>
      </c>
      <c r="AH46" s="120"/>
      <c r="AI46" s="120"/>
      <c r="AJ46" s="120"/>
      <c r="AK46" s="120"/>
      <c r="AL46" s="118" t="s">
        <v>187</v>
      </c>
      <c r="AN46" s="121" t="s">
        <v>174</v>
      </c>
      <c r="AO46" s="113">
        <v>500</v>
      </c>
      <c r="AP46" s="82">
        <v>100000</v>
      </c>
      <c r="AQ46" s="123">
        <v>23.899999999999999</v>
      </c>
      <c r="AR46" s="113" t="s">
        <v>206</v>
      </c>
      <c r="AS46" s="124">
        <f t="shared" si="12"/>
        <v>795.26999999999998</v>
      </c>
      <c r="AT46" s="124">
        <f t="shared" si="13"/>
        <v>393.16500000000002</v>
      </c>
      <c r="AU46" s="122">
        <v>8</v>
      </c>
      <c r="AV46" s="122">
        <v>6</v>
      </c>
      <c r="AW46" s="123">
        <v>24</v>
      </c>
      <c r="AX46" s="124">
        <f t="shared" si="14"/>
        <v>1361.25</v>
      </c>
      <c r="AY46" s="124">
        <f t="shared" si="15"/>
        <v>283.71000000000004</v>
      </c>
      <c r="AZ46" s="122">
        <v>8</v>
      </c>
      <c r="BA46" s="122">
        <v>6</v>
      </c>
      <c r="BB46" s="123">
        <v>15</v>
      </c>
      <c r="BC46" s="124">
        <f t="shared" si="16"/>
        <v>1257.8100000000002</v>
      </c>
      <c r="BD46" s="124">
        <f t="shared" si="17"/>
        <v>306.75</v>
      </c>
      <c r="BE46" s="122">
        <v>9</v>
      </c>
      <c r="BF46" s="122">
        <v>7</v>
      </c>
      <c r="BG46" s="123">
        <v>12</v>
      </c>
      <c r="BH46" s="124">
        <f t="shared" si="18"/>
        <v>1728.45</v>
      </c>
      <c r="BI46" s="124">
        <f t="shared" si="19"/>
        <v>290.28599999999994</v>
      </c>
      <c r="BJ46" s="122">
        <v>13</v>
      </c>
      <c r="BK46" s="122">
        <v>10</v>
      </c>
      <c r="BL46" s="123">
        <v>14</v>
      </c>
      <c r="BM46" s="114">
        <v>5000</v>
      </c>
      <c r="BN46" s="124">
        <f t="shared" si="20"/>
        <v>2761.0950000000003</v>
      </c>
      <c r="BO46" s="114">
        <v>5000</v>
      </c>
      <c r="BP46" s="124">
        <f t="shared" si="21"/>
        <v>2779.8000000000002</v>
      </c>
      <c r="BQ46" s="114">
        <v>11000</v>
      </c>
      <c r="BR46" s="124">
        <f t="shared" si="22"/>
        <v>4632.0600000000004</v>
      </c>
      <c r="BS46" s="114">
        <v>60000</v>
      </c>
      <c r="BT46" s="124">
        <f t="shared" si="23"/>
        <v>19145.609999999997</v>
      </c>
      <c r="BU46" s="124">
        <v>295</v>
      </c>
      <c r="BV46" s="124">
        <v>77.459999999999994</v>
      </c>
      <c r="BY46" s="124">
        <v>429</v>
      </c>
      <c r="BZ46" s="124">
        <v>56.759999999999998</v>
      </c>
      <c r="CC46" s="124">
        <v>429</v>
      </c>
      <c r="CD46" s="124">
        <v>56.759999999999998</v>
      </c>
      <c r="CG46" s="124">
        <v>429</v>
      </c>
      <c r="CH46" s="124">
        <v>56.759999999999998</v>
      </c>
      <c r="CI46" s="124"/>
      <c r="CJ46" s="124"/>
      <c r="CK46" s="124">
        <v>125</v>
      </c>
      <c r="CL46" s="124">
        <v>125</v>
      </c>
      <c r="CM46" s="124">
        <v>125</v>
      </c>
      <c r="CN46" s="124">
        <v>125</v>
      </c>
      <c r="CO46" s="124">
        <v>125</v>
      </c>
      <c r="CP46" s="124">
        <v>125</v>
      </c>
      <c r="CQ46" s="124">
        <v>125</v>
      </c>
      <c r="CR46" s="124">
        <v>125</v>
      </c>
      <c r="CS46" s="124">
        <v>54.799999999999997</v>
      </c>
      <c r="CT46" s="124">
        <v>91.200000000000003</v>
      </c>
      <c r="CU46" s="113" t="s">
        <v>175</v>
      </c>
      <c r="CV46" s="124"/>
      <c r="CW46" s="124">
        <v>165</v>
      </c>
      <c r="CX46" s="124">
        <v>65</v>
      </c>
      <c r="CY46" s="113" t="s">
        <v>175</v>
      </c>
      <c r="CZ46" s="124"/>
      <c r="DA46" s="124">
        <v>121.90000000000001</v>
      </c>
      <c r="DB46" s="124">
        <v>74.599999999999994</v>
      </c>
      <c r="DC46" s="113" t="s">
        <v>175</v>
      </c>
      <c r="DD46" s="124"/>
      <c r="DE46" s="124">
        <v>318</v>
      </c>
      <c r="DF46" s="124">
        <v>67.739999999999995</v>
      </c>
      <c r="DG46" s="113" t="s">
        <v>232</v>
      </c>
      <c r="DH46" s="124"/>
      <c r="DI46" s="124">
        <v>140</v>
      </c>
      <c r="DJ46" s="124">
        <v>140</v>
      </c>
      <c r="DK46" s="124">
        <v>140</v>
      </c>
      <c r="DL46" s="124">
        <v>140</v>
      </c>
      <c r="DM46" s="124">
        <v>140</v>
      </c>
      <c r="DN46" s="124">
        <v>140</v>
      </c>
      <c r="DO46" s="124">
        <v>140</v>
      </c>
      <c r="DP46" s="124">
        <v>140</v>
      </c>
    </row>
    <row r="47" s="76" customFormat="1" ht="15.75" customHeight="1">
      <c r="A47" s="71">
        <v>2000000</v>
      </c>
      <c r="B47" s="72" t="s">
        <v>157</v>
      </c>
      <c r="C47" s="75" t="s">
        <v>158</v>
      </c>
      <c r="D47" s="71">
        <v>2220000</v>
      </c>
      <c r="E47" s="73" t="s">
        <v>225</v>
      </c>
      <c r="F47" s="108" t="s">
        <v>226</v>
      </c>
      <c r="G47" s="74"/>
      <c r="H47" s="74"/>
      <c r="I47" s="72"/>
      <c r="J47" s="72"/>
      <c r="L47" s="72" t="s">
        <v>236</v>
      </c>
      <c r="M47" s="73" t="s">
        <v>225</v>
      </c>
      <c r="N47" s="143" t="s">
        <v>237</v>
      </c>
      <c r="O47" s="143"/>
      <c r="T47" s="77"/>
      <c r="U47" s="76" t="s">
        <v>212</v>
      </c>
      <c r="V47" s="76" t="s">
        <v>238</v>
      </c>
      <c r="W47" s="76" t="s">
        <v>239</v>
      </c>
      <c r="X47" s="77" t="s">
        <v>167</v>
      </c>
      <c r="Y47" s="76" t="s">
        <v>183</v>
      </c>
      <c r="Z47" s="76" t="s">
        <v>169</v>
      </c>
      <c r="AD47" s="76" t="s">
        <v>170</v>
      </c>
      <c r="AE47" s="76" t="s">
        <v>171</v>
      </c>
      <c r="AF47" s="76" t="s">
        <v>171</v>
      </c>
      <c r="AG47" s="77" t="s">
        <v>231</v>
      </c>
      <c r="AH47" s="77"/>
      <c r="AI47" s="77"/>
      <c r="AJ47" s="77"/>
      <c r="AK47" s="77"/>
      <c r="AL47" s="111" t="s">
        <v>173</v>
      </c>
      <c r="AN47" s="99" t="s">
        <v>174</v>
      </c>
      <c r="AO47" s="76">
        <v>500</v>
      </c>
      <c r="AP47" s="82">
        <v>100000</v>
      </c>
      <c r="AQ47" s="86">
        <v>16.699999999999999</v>
      </c>
      <c r="AR47" s="76" t="s">
        <v>92</v>
      </c>
      <c r="AS47" s="84">
        <f t="shared" si="12"/>
        <v>815.94000000000005</v>
      </c>
      <c r="AT47" s="84">
        <f t="shared" si="13"/>
        <v>330.26249999999999</v>
      </c>
      <c r="AU47" s="85">
        <v>7</v>
      </c>
      <c r="AV47" s="85">
        <v>5</v>
      </c>
      <c r="AW47" s="86">
        <v>24</v>
      </c>
      <c r="AX47" s="84">
        <f t="shared" si="14"/>
        <v>1403.8199999999999</v>
      </c>
      <c r="AY47" s="84">
        <f t="shared" si="15"/>
        <v>268.32749999999999</v>
      </c>
      <c r="AZ47" s="85">
        <v>7</v>
      </c>
      <c r="BA47" s="85">
        <v>5</v>
      </c>
      <c r="BB47" s="86">
        <v>15</v>
      </c>
      <c r="BC47" s="84">
        <f t="shared" si="16"/>
        <v>1784.7</v>
      </c>
      <c r="BD47" s="84">
        <f t="shared" si="17"/>
        <v>185.4795</v>
      </c>
      <c r="BE47" s="85">
        <v>8</v>
      </c>
      <c r="BF47" s="85">
        <v>6</v>
      </c>
      <c r="BG47" s="86">
        <v>12</v>
      </c>
      <c r="BH47" s="84">
        <f t="shared" si="18"/>
        <v>1784.7</v>
      </c>
      <c r="BI47" s="84">
        <f t="shared" si="19"/>
        <v>183.60750000000002</v>
      </c>
      <c r="BJ47" s="85">
        <v>12</v>
      </c>
      <c r="BK47" s="85">
        <v>9</v>
      </c>
      <c r="BL47" s="86">
        <v>14</v>
      </c>
      <c r="BM47" s="71">
        <v>5000</v>
      </c>
      <c r="BN47" s="84">
        <f t="shared" si="20"/>
        <v>2467.2525000000001</v>
      </c>
      <c r="BO47" s="71">
        <v>11000</v>
      </c>
      <c r="BP47" s="84">
        <f t="shared" si="21"/>
        <v>4355.4224999999997</v>
      </c>
      <c r="BQ47" s="71">
        <v>11000</v>
      </c>
      <c r="BR47" s="84">
        <f t="shared" si="22"/>
        <v>3824.9745000000003</v>
      </c>
      <c r="BS47" s="71">
        <v>60000</v>
      </c>
      <c r="BT47" s="84">
        <f t="shared" si="23"/>
        <v>12801.150000000003</v>
      </c>
      <c r="BU47" s="84">
        <v>290</v>
      </c>
      <c r="BV47" s="84">
        <v>51.850000000000001</v>
      </c>
      <c r="BY47" s="84">
        <v>454</v>
      </c>
      <c r="BZ47" s="84">
        <v>31.149999999999999</v>
      </c>
      <c r="CC47" s="84">
        <v>454</v>
      </c>
      <c r="CD47" s="84">
        <v>31.149999999999999</v>
      </c>
      <c r="CG47" s="84">
        <v>454</v>
      </c>
      <c r="CH47" s="84">
        <v>31.149999999999999</v>
      </c>
      <c r="CI47" s="84"/>
      <c r="CJ47" s="84"/>
      <c r="CK47" s="84">
        <v>125</v>
      </c>
      <c r="CL47" s="84">
        <v>125</v>
      </c>
      <c r="CM47" s="84">
        <v>125</v>
      </c>
      <c r="CN47" s="84">
        <v>125</v>
      </c>
      <c r="CO47" s="84">
        <v>125</v>
      </c>
      <c r="CP47" s="84">
        <v>125</v>
      </c>
      <c r="CQ47" s="84">
        <v>125</v>
      </c>
      <c r="CR47" s="84">
        <v>125</v>
      </c>
      <c r="CS47" s="84">
        <v>68.099999999999994</v>
      </c>
      <c r="CT47" s="84">
        <v>89</v>
      </c>
      <c r="CU47" s="76" t="s">
        <v>175</v>
      </c>
      <c r="CV47" s="84"/>
      <c r="CW47" s="84">
        <v>159.30000000000001</v>
      </c>
      <c r="CX47" s="84">
        <v>82.599999999999994</v>
      </c>
      <c r="CY47" s="76" t="s">
        <v>175</v>
      </c>
      <c r="CZ47" s="84"/>
      <c r="DA47" s="84">
        <v>318</v>
      </c>
      <c r="DB47" s="84">
        <v>48.079999999999998</v>
      </c>
      <c r="DC47" s="76" t="s">
        <v>232</v>
      </c>
      <c r="DD47" s="84"/>
      <c r="DE47" s="84">
        <v>318</v>
      </c>
      <c r="DF47" s="84">
        <v>47.299999999999997</v>
      </c>
      <c r="DG47" s="76" t="s">
        <v>232</v>
      </c>
      <c r="DH47" s="84"/>
      <c r="DI47" s="84">
        <v>140</v>
      </c>
      <c r="DJ47" s="84">
        <v>140</v>
      </c>
      <c r="DK47" s="84">
        <v>140</v>
      </c>
      <c r="DL47" s="84">
        <v>140</v>
      </c>
      <c r="DM47" s="84">
        <v>140</v>
      </c>
      <c r="DN47" s="84">
        <v>140</v>
      </c>
      <c r="DO47" s="84">
        <v>140</v>
      </c>
      <c r="DP47" s="84">
        <v>140</v>
      </c>
    </row>
    <row r="48" s="113" customFormat="1" ht="15.75" customHeight="1">
      <c r="A48" s="114">
        <v>2000000</v>
      </c>
      <c r="B48" s="115" t="s">
        <v>157</v>
      </c>
      <c r="C48" s="75" t="s">
        <v>158</v>
      </c>
      <c r="D48" s="114">
        <v>2220000</v>
      </c>
      <c r="E48" s="144" t="s">
        <v>225</v>
      </c>
      <c r="F48" s="108" t="s">
        <v>226</v>
      </c>
      <c r="G48" s="117"/>
      <c r="H48" s="117"/>
      <c r="I48" s="115"/>
      <c r="J48" s="115"/>
      <c r="L48" s="115" t="s">
        <v>240</v>
      </c>
      <c r="M48" s="144" t="s">
        <v>225</v>
      </c>
      <c r="N48" s="120"/>
      <c r="O48" s="120"/>
      <c r="T48" s="120"/>
      <c r="U48" s="113" t="s">
        <v>212</v>
      </c>
      <c r="V48" s="113" t="s">
        <v>238</v>
      </c>
      <c r="W48" s="113" t="s">
        <v>239</v>
      </c>
      <c r="X48" s="120" t="s">
        <v>167</v>
      </c>
      <c r="Y48" s="113" t="s">
        <v>168</v>
      </c>
      <c r="Z48" s="113" t="s">
        <v>169</v>
      </c>
      <c r="AD48" s="113" t="s">
        <v>170</v>
      </c>
      <c r="AE48" s="113" t="s">
        <v>171</v>
      </c>
      <c r="AF48" s="113" t="s">
        <v>171</v>
      </c>
      <c r="AG48" s="120" t="s">
        <v>231</v>
      </c>
      <c r="AH48" s="120"/>
      <c r="AI48" s="120"/>
      <c r="AJ48" s="120"/>
      <c r="AK48" s="120"/>
      <c r="AL48" s="111" t="s">
        <v>173</v>
      </c>
      <c r="AN48" s="121" t="s">
        <v>174</v>
      </c>
      <c r="AO48" s="113">
        <v>500</v>
      </c>
      <c r="AP48" s="82">
        <v>100000</v>
      </c>
      <c r="AQ48" s="123">
        <v>21</v>
      </c>
      <c r="AR48" s="113" t="s">
        <v>206</v>
      </c>
      <c r="AS48" s="124">
        <f t="shared" si="12"/>
        <v>923.58000000000004</v>
      </c>
      <c r="AT48" s="124">
        <f t="shared" si="13"/>
        <v>497.58749999999998</v>
      </c>
      <c r="AU48" s="122">
        <v>7</v>
      </c>
      <c r="AV48" s="122">
        <v>5</v>
      </c>
      <c r="AW48" s="123">
        <v>24</v>
      </c>
      <c r="AX48" s="124">
        <f t="shared" si="14"/>
        <v>2146.5</v>
      </c>
      <c r="AY48" s="124">
        <f t="shared" si="15"/>
        <v>273.17250000000001</v>
      </c>
      <c r="AZ48" s="122">
        <v>7</v>
      </c>
      <c r="BA48" s="122">
        <v>5</v>
      </c>
      <c r="BB48" s="123">
        <v>15</v>
      </c>
      <c r="BC48" s="124">
        <f t="shared" si="16"/>
        <v>2002.5</v>
      </c>
      <c r="BD48" s="124">
        <f t="shared" si="17"/>
        <v>267.17250000000001</v>
      </c>
      <c r="BE48" s="122">
        <v>8</v>
      </c>
      <c r="BF48" s="122">
        <v>6</v>
      </c>
      <c r="BG48" s="123">
        <v>12</v>
      </c>
      <c r="BH48" s="124">
        <f t="shared" si="18"/>
        <v>1829.7</v>
      </c>
      <c r="BI48" s="124">
        <f t="shared" si="19"/>
        <v>266.6925</v>
      </c>
      <c r="BJ48" s="122">
        <v>12</v>
      </c>
      <c r="BK48" s="122">
        <v>9</v>
      </c>
      <c r="BL48" s="123">
        <v>14</v>
      </c>
      <c r="BM48" s="114">
        <v>5000</v>
      </c>
      <c r="BN48" s="124">
        <f t="shared" si="20"/>
        <v>3411.5174999999999</v>
      </c>
      <c r="BO48" s="114">
        <v>5100</v>
      </c>
      <c r="BP48" s="124">
        <f t="shared" si="21"/>
        <v>3539.6797500000002</v>
      </c>
      <c r="BQ48" s="114">
        <v>11000</v>
      </c>
      <c r="BR48" s="124">
        <f t="shared" si="22"/>
        <v>4941.3975</v>
      </c>
      <c r="BS48" s="114">
        <v>60000</v>
      </c>
      <c r="BT48" s="124">
        <f t="shared" si="23"/>
        <v>17831.25</v>
      </c>
      <c r="BU48" s="124">
        <v>310</v>
      </c>
      <c r="BV48" s="124">
        <v>78.109999999999999</v>
      </c>
      <c r="BY48" s="124">
        <v>474</v>
      </c>
      <c r="BZ48" s="124">
        <v>57.409999999999997</v>
      </c>
      <c r="CC48" s="124">
        <v>474</v>
      </c>
      <c r="CD48" s="124">
        <v>57.409999999999997</v>
      </c>
      <c r="CG48" s="124">
        <v>474</v>
      </c>
      <c r="CH48" s="124">
        <v>57.409999999999997</v>
      </c>
      <c r="CI48" s="124"/>
      <c r="CJ48" s="124"/>
      <c r="CK48" s="124">
        <v>125</v>
      </c>
      <c r="CL48" s="124">
        <v>125</v>
      </c>
      <c r="CM48" s="124">
        <v>125</v>
      </c>
      <c r="CN48" s="124">
        <v>125</v>
      </c>
      <c r="CO48" s="124">
        <v>125</v>
      </c>
      <c r="CP48" s="124">
        <v>125</v>
      </c>
      <c r="CQ48" s="124">
        <v>125</v>
      </c>
      <c r="CR48" s="124">
        <v>125</v>
      </c>
      <c r="CS48" s="124">
        <v>94.200000000000003</v>
      </c>
      <c r="CT48" s="124">
        <v>134.09999999999999</v>
      </c>
      <c r="CU48" s="113" t="s">
        <v>175</v>
      </c>
      <c r="CV48" s="124"/>
      <c r="CW48" s="124">
        <v>450</v>
      </c>
      <c r="CX48" s="124">
        <v>60</v>
      </c>
      <c r="CY48" s="113" t="s">
        <v>232</v>
      </c>
      <c r="CZ48" s="124"/>
      <c r="DA48" s="124">
        <v>390</v>
      </c>
      <c r="DB48" s="124">
        <v>57.5</v>
      </c>
      <c r="DC48" s="113" t="s">
        <v>232</v>
      </c>
      <c r="DD48" s="124"/>
      <c r="DE48" s="124">
        <v>318</v>
      </c>
      <c r="DF48" s="124">
        <v>57.299999999999997</v>
      </c>
      <c r="DG48" s="113" t="s">
        <v>232</v>
      </c>
      <c r="DH48" s="124"/>
      <c r="DI48" s="124">
        <v>140</v>
      </c>
      <c r="DJ48" s="124">
        <v>140</v>
      </c>
      <c r="DK48" s="124">
        <v>140</v>
      </c>
      <c r="DL48" s="124">
        <v>140</v>
      </c>
      <c r="DM48" s="124">
        <v>140</v>
      </c>
      <c r="DN48" s="124">
        <v>140</v>
      </c>
      <c r="DO48" s="124">
        <v>140</v>
      </c>
      <c r="DP48" s="124">
        <v>140</v>
      </c>
    </row>
    <row r="49" s="113" customFormat="1" ht="15.75" customHeight="1">
      <c r="A49" s="114">
        <v>2000000</v>
      </c>
      <c r="B49" s="115" t="s">
        <v>157</v>
      </c>
      <c r="C49" s="75" t="s">
        <v>158</v>
      </c>
      <c r="D49" s="114">
        <v>2220000</v>
      </c>
      <c r="E49" s="144" t="s">
        <v>225</v>
      </c>
      <c r="F49" s="108" t="s">
        <v>226</v>
      </c>
      <c r="G49" s="117"/>
      <c r="H49" s="117"/>
      <c r="I49" s="115"/>
      <c r="J49" s="115"/>
      <c r="L49" s="115" t="s">
        <v>241</v>
      </c>
      <c r="M49" s="144" t="s">
        <v>225</v>
      </c>
      <c r="N49" s="120"/>
      <c r="O49" s="120"/>
      <c r="T49" s="120"/>
      <c r="U49" s="113" t="s">
        <v>212</v>
      </c>
      <c r="V49" s="113" t="s">
        <v>238</v>
      </c>
      <c r="W49" s="113" t="s">
        <v>239</v>
      </c>
      <c r="X49" s="120" t="s">
        <v>167</v>
      </c>
      <c r="Y49" s="113" t="s">
        <v>177</v>
      </c>
      <c r="Z49" s="113" t="s">
        <v>169</v>
      </c>
      <c r="AD49" s="113" t="s">
        <v>170</v>
      </c>
      <c r="AE49" s="113" t="s">
        <v>171</v>
      </c>
      <c r="AF49" s="113" t="s">
        <v>171</v>
      </c>
      <c r="AG49" s="120" t="s">
        <v>231</v>
      </c>
      <c r="AH49" s="120"/>
      <c r="AI49" s="120"/>
      <c r="AJ49" s="120"/>
      <c r="AK49" s="120"/>
      <c r="AL49" s="111" t="s">
        <v>173</v>
      </c>
      <c r="AN49" s="121" t="s">
        <v>174</v>
      </c>
      <c r="AO49" s="113">
        <v>500</v>
      </c>
      <c r="AP49" s="82">
        <v>100000</v>
      </c>
      <c r="AQ49" s="123">
        <v>30.899999999999999</v>
      </c>
      <c r="AR49" s="113" t="s">
        <v>206</v>
      </c>
      <c r="AS49" s="124">
        <f t="shared" si="12"/>
        <v>1006.3800000000001</v>
      </c>
      <c r="AT49" s="124">
        <f t="shared" si="13"/>
        <v>606.54750000000001</v>
      </c>
      <c r="AU49" s="122">
        <v>7</v>
      </c>
      <c r="AV49" s="122">
        <v>5</v>
      </c>
      <c r="AW49" s="123">
        <v>24</v>
      </c>
      <c r="AX49" s="124">
        <f t="shared" si="14"/>
        <v>2266.5</v>
      </c>
      <c r="AY49" s="124">
        <f t="shared" si="15"/>
        <v>313.2525</v>
      </c>
      <c r="AZ49" s="122">
        <v>7</v>
      </c>
      <c r="BA49" s="122">
        <v>5</v>
      </c>
      <c r="BB49" s="123">
        <v>15</v>
      </c>
      <c r="BC49" s="124">
        <f t="shared" si="16"/>
        <v>1829.7</v>
      </c>
      <c r="BD49" s="124">
        <f t="shared" si="17"/>
        <v>333.50850000000003</v>
      </c>
      <c r="BE49" s="122">
        <v>8</v>
      </c>
      <c r="BF49" s="122">
        <v>6</v>
      </c>
      <c r="BG49" s="123">
        <v>12</v>
      </c>
      <c r="BH49" s="124">
        <f t="shared" si="18"/>
        <v>1829.7</v>
      </c>
      <c r="BI49" s="124">
        <f t="shared" si="19"/>
        <v>330.98850000000004</v>
      </c>
      <c r="BJ49" s="122">
        <v>12</v>
      </c>
      <c r="BK49" s="122">
        <v>9</v>
      </c>
      <c r="BL49" s="123">
        <v>14</v>
      </c>
      <c r="BM49" s="114">
        <v>5000</v>
      </c>
      <c r="BN49" s="124">
        <f t="shared" si="20"/>
        <v>4039.1175000000003</v>
      </c>
      <c r="BO49" s="114">
        <v>5100</v>
      </c>
      <c r="BP49" s="124">
        <f t="shared" si="21"/>
        <v>3864.0877499999997</v>
      </c>
      <c r="BQ49" s="114">
        <v>11000</v>
      </c>
      <c r="BR49" s="124">
        <f t="shared" si="22"/>
        <v>5498.2935000000007</v>
      </c>
      <c r="BS49" s="114">
        <v>60000</v>
      </c>
      <c r="BT49" s="124">
        <f t="shared" si="23"/>
        <v>21689.010000000006</v>
      </c>
      <c r="BU49" s="124">
        <v>310</v>
      </c>
      <c r="BV49" s="124">
        <v>78.109999999999999</v>
      </c>
      <c r="BY49" s="124">
        <v>474</v>
      </c>
      <c r="BZ49" s="124">
        <v>57.409999999999997</v>
      </c>
      <c r="CC49" s="124">
        <v>474</v>
      </c>
      <c r="CD49" s="124">
        <v>57.409999999999997</v>
      </c>
      <c r="CG49" s="124">
        <v>474</v>
      </c>
      <c r="CH49" s="124">
        <v>57.409999999999997</v>
      </c>
      <c r="CI49" s="124"/>
      <c r="CJ49" s="124"/>
      <c r="CK49" s="124">
        <v>125</v>
      </c>
      <c r="CL49" s="124">
        <v>125</v>
      </c>
      <c r="CM49" s="124">
        <v>125</v>
      </c>
      <c r="CN49" s="124">
        <v>125</v>
      </c>
      <c r="CO49" s="124">
        <v>125</v>
      </c>
      <c r="CP49" s="124">
        <v>125</v>
      </c>
      <c r="CQ49" s="124">
        <v>125</v>
      </c>
      <c r="CR49" s="124">
        <v>125</v>
      </c>
      <c r="CS49" s="124">
        <v>128.69999999999999</v>
      </c>
      <c r="CT49" s="124">
        <v>179.5</v>
      </c>
      <c r="CU49" s="113" t="s">
        <v>175</v>
      </c>
      <c r="CV49" s="124"/>
      <c r="CW49" s="124">
        <v>500</v>
      </c>
      <c r="CX49" s="124">
        <v>76.700000000000003</v>
      </c>
      <c r="CY49" s="113" t="s">
        <v>232</v>
      </c>
      <c r="CZ49" s="124"/>
      <c r="DA49" s="124">
        <v>318</v>
      </c>
      <c r="DB49" s="124">
        <v>85.140000000000001</v>
      </c>
      <c r="DC49" s="113" t="s">
        <v>232</v>
      </c>
      <c r="DD49" s="124"/>
      <c r="DE49" s="124">
        <v>318</v>
      </c>
      <c r="DF49" s="124">
        <v>84.090000000000003</v>
      </c>
      <c r="DG49" s="113" t="s">
        <v>232</v>
      </c>
      <c r="DH49" s="124"/>
      <c r="DI49" s="124">
        <v>140</v>
      </c>
      <c r="DJ49" s="124">
        <v>140</v>
      </c>
      <c r="DK49" s="124">
        <v>140</v>
      </c>
      <c r="DL49" s="124">
        <v>140</v>
      </c>
      <c r="DM49" s="124">
        <v>140</v>
      </c>
      <c r="DN49" s="124">
        <v>140</v>
      </c>
      <c r="DO49" s="124">
        <v>140</v>
      </c>
      <c r="DP49" s="124">
        <v>140</v>
      </c>
    </row>
    <row r="50" s="113" customFormat="1" ht="15.75" customHeight="1">
      <c r="A50" s="114">
        <v>2000000</v>
      </c>
      <c r="B50" s="115" t="s">
        <v>157</v>
      </c>
      <c r="C50" s="75" t="s">
        <v>158</v>
      </c>
      <c r="D50" s="114">
        <v>2220000</v>
      </c>
      <c r="E50" s="144" t="s">
        <v>225</v>
      </c>
      <c r="F50" s="108" t="s">
        <v>226</v>
      </c>
      <c r="G50" s="117"/>
      <c r="H50" s="117"/>
      <c r="I50" s="115"/>
      <c r="J50" s="115"/>
      <c r="L50" s="115" t="s">
        <v>242</v>
      </c>
      <c r="M50" s="144" t="s">
        <v>225</v>
      </c>
      <c r="N50" s="120"/>
      <c r="O50" s="120"/>
      <c r="T50" s="120"/>
      <c r="U50" s="113" t="s">
        <v>212</v>
      </c>
      <c r="V50" s="113" t="s">
        <v>238</v>
      </c>
      <c r="W50" s="113" t="s">
        <v>239</v>
      </c>
      <c r="X50" s="120" t="s">
        <v>167</v>
      </c>
      <c r="Y50" s="113" t="s">
        <v>177</v>
      </c>
      <c r="Z50" s="113" t="s">
        <v>169</v>
      </c>
      <c r="AD50" s="113" t="s">
        <v>170</v>
      </c>
      <c r="AE50" s="113" t="s">
        <v>171</v>
      </c>
      <c r="AF50" s="113" t="s">
        <v>171</v>
      </c>
      <c r="AG50" s="120" t="s">
        <v>231</v>
      </c>
      <c r="AH50" s="120"/>
      <c r="AI50" s="120"/>
      <c r="AJ50" s="120"/>
      <c r="AK50" s="120"/>
      <c r="AL50" s="118" t="s">
        <v>187</v>
      </c>
      <c r="AN50" s="121" t="s">
        <v>174</v>
      </c>
      <c r="AO50" s="113">
        <v>500</v>
      </c>
      <c r="AP50" s="82">
        <v>100000</v>
      </c>
      <c r="AQ50" s="123">
        <v>30.899999999999999</v>
      </c>
      <c r="AR50" s="113" t="s">
        <v>206</v>
      </c>
      <c r="AS50" s="124">
        <f t="shared" si="12"/>
        <v>1006.3800000000001</v>
      </c>
      <c r="AT50" s="124">
        <f t="shared" si="13"/>
        <v>606.54750000000001</v>
      </c>
      <c r="AU50" s="122">
        <v>8</v>
      </c>
      <c r="AV50" s="122">
        <v>6</v>
      </c>
      <c r="AW50" s="123">
        <v>24</v>
      </c>
      <c r="AX50" s="124">
        <f t="shared" si="14"/>
        <v>2266.5</v>
      </c>
      <c r="AY50" s="124">
        <f t="shared" si="15"/>
        <v>313.2525</v>
      </c>
      <c r="AZ50" s="122">
        <v>8</v>
      </c>
      <c r="BA50" s="122">
        <v>6</v>
      </c>
      <c r="BB50" s="123">
        <v>15</v>
      </c>
      <c r="BC50" s="124">
        <f t="shared" si="16"/>
        <v>1829.7</v>
      </c>
      <c r="BD50" s="124">
        <f t="shared" si="17"/>
        <v>333.50850000000003</v>
      </c>
      <c r="BE50" s="122">
        <v>9</v>
      </c>
      <c r="BF50" s="122">
        <v>7</v>
      </c>
      <c r="BG50" s="123">
        <v>12</v>
      </c>
      <c r="BH50" s="124">
        <f t="shared" si="18"/>
        <v>1829.7</v>
      </c>
      <c r="BI50" s="124">
        <f t="shared" si="19"/>
        <v>330.98850000000004</v>
      </c>
      <c r="BJ50" s="122">
        <v>13</v>
      </c>
      <c r="BK50" s="122">
        <v>10</v>
      </c>
      <c r="BL50" s="123">
        <v>14</v>
      </c>
      <c r="BM50" s="114">
        <v>5000</v>
      </c>
      <c r="BN50" s="124">
        <f t="shared" si="20"/>
        <v>4039.1175000000003</v>
      </c>
      <c r="BO50" s="114">
        <v>10000</v>
      </c>
      <c r="BP50" s="124">
        <f t="shared" si="21"/>
        <v>5399.0249999999996</v>
      </c>
      <c r="BQ50" s="114">
        <v>10500</v>
      </c>
      <c r="BR50" s="124">
        <f t="shared" si="22"/>
        <v>5331.5392500000007</v>
      </c>
      <c r="BS50" s="114">
        <v>60000</v>
      </c>
      <c r="BT50" s="124">
        <f t="shared" si="23"/>
        <v>21689.010000000006</v>
      </c>
      <c r="BU50" s="124">
        <v>310</v>
      </c>
      <c r="BV50" s="124">
        <v>78.109999999999999</v>
      </c>
      <c r="BY50" s="124">
        <v>474</v>
      </c>
      <c r="BZ50" s="124">
        <v>57.409999999999997</v>
      </c>
      <c r="CC50" s="124">
        <v>474</v>
      </c>
      <c r="CD50" s="124">
        <v>57.409999999999997</v>
      </c>
      <c r="CG50" s="124">
        <v>474</v>
      </c>
      <c r="CH50" s="124">
        <v>57.409999999999997</v>
      </c>
      <c r="CI50" s="124"/>
      <c r="CJ50" s="124"/>
      <c r="CK50" s="124">
        <v>125</v>
      </c>
      <c r="CL50" s="124">
        <v>125</v>
      </c>
      <c r="CM50" s="124">
        <v>125</v>
      </c>
      <c r="CN50" s="124">
        <v>125</v>
      </c>
      <c r="CO50" s="124">
        <v>125</v>
      </c>
      <c r="CP50" s="124">
        <v>125</v>
      </c>
      <c r="CQ50" s="124">
        <v>125</v>
      </c>
      <c r="CR50" s="124">
        <v>125</v>
      </c>
      <c r="CS50" s="124">
        <v>128.69999999999999</v>
      </c>
      <c r="CT50" s="124">
        <v>179.5</v>
      </c>
      <c r="CU50" s="113" t="s">
        <v>175</v>
      </c>
      <c r="CV50" s="124"/>
      <c r="CW50" s="124">
        <v>500</v>
      </c>
      <c r="CX50" s="124">
        <v>76.700000000000003</v>
      </c>
      <c r="CY50" s="113" t="s">
        <v>232</v>
      </c>
      <c r="CZ50" s="124"/>
      <c r="DA50" s="124">
        <v>318</v>
      </c>
      <c r="DB50" s="124">
        <v>85.140000000000001</v>
      </c>
      <c r="DC50" s="113" t="s">
        <v>232</v>
      </c>
      <c r="DD50" s="124"/>
      <c r="DE50" s="124">
        <v>318</v>
      </c>
      <c r="DF50" s="124">
        <v>84.090000000000003</v>
      </c>
      <c r="DG50" s="113" t="s">
        <v>232</v>
      </c>
      <c r="DH50" s="124"/>
      <c r="DI50" s="124">
        <v>140</v>
      </c>
      <c r="DJ50" s="124">
        <v>140</v>
      </c>
      <c r="DK50" s="124">
        <v>140</v>
      </c>
      <c r="DL50" s="124">
        <v>140</v>
      </c>
      <c r="DM50" s="124">
        <v>140</v>
      </c>
      <c r="DN50" s="124">
        <v>140</v>
      </c>
      <c r="DO50" s="124">
        <v>140</v>
      </c>
      <c r="DP50" s="124">
        <v>140</v>
      </c>
    </row>
    <row r="51" s="51" customFormat="1" ht="80.25" customHeight="1">
      <c r="A51" s="52">
        <v>2000000</v>
      </c>
      <c r="B51" s="53" t="s">
        <v>157</v>
      </c>
      <c r="C51" s="75" t="s">
        <v>158</v>
      </c>
      <c r="D51" s="52">
        <v>2230000</v>
      </c>
      <c r="E51" s="54" t="s">
        <v>243</v>
      </c>
      <c r="F51" s="127" t="s">
        <v>244</v>
      </c>
      <c r="G51" s="55"/>
      <c r="H51" s="55"/>
      <c r="I51" s="53"/>
      <c r="J51" s="53"/>
      <c r="L51" s="53" t="s">
        <v>245</v>
      </c>
      <c r="M51" s="54" t="s">
        <v>243</v>
      </c>
      <c r="N51" s="131" t="s">
        <v>246</v>
      </c>
      <c r="O51" s="131"/>
      <c r="T51" s="57"/>
      <c r="U51" s="51" t="s">
        <v>247</v>
      </c>
      <c r="V51" s="51" t="s">
        <v>248</v>
      </c>
      <c r="W51" s="51" t="s">
        <v>166</v>
      </c>
      <c r="X51" s="57" t="s">
        <v>167</v>
      </c>
      <c r="Y51" s="51" t="s">
        <v>168</v>
      </c>
      <c r="Z51" s="51" t="s">
        <v>169</v>
      </c>
      <c r="AD51" s="51" t="s">
        <v>170</v>
      </c>
      <c r="AE51" s="51" t="s">
        <v>171</v>
      </c>
      <c r="AF51" s="51" t="s">
        <v>171</v>
      </c>
      <c r="AG51" s="57" t="s">
        <v>214</v>
      </c>
      <c r="AH51" s="57"/>
      <c r="AI51" s="57"/>
      <c r="AJ51" s="57"/>
      <c r="AK51" s="57"/>
      <c r="AL51" s="57" t="s">
        <v>173</v>
      </c>
      <c r="AN51" s="106" t="s">
        <v>174</v>
      </c>
      <c r="AO51" s="51">
        <v>500</v>
      </c>
      <c r="AP51" s="60">
        <v>100000</v>
      </c>
      <c r="AQ51" s="64">
        <v>5.2999999999999998</v>
      </c>
      <c r="AR51" s="51" t="s">
        <v>92</v>
      </c>
      <c r="AS51" s="62">
        <f t="shared" si="12"/>
        <v>263.22000000000003</v>
      </c>
      <c r="AT51" s="62">
        <f t="shared" si="13"/>
        <v>135.39750000000001</v>
      </c>
      <c r="AU51" s="63">
        <v>7</v>
      </c>
      <c r="AV51" s="63">
        <v>5</v>
      </c>
      <c r="AW51" s="64">
        <v>24</v>
      </c>
      <c r="AX51" s="62">
        <f t="shared" si="14"/>
        <v>241.86000000000001</v>
      </c>
      <c r="AY51" s="62">
        <f t="shared" si="15"/>
        <v>127.47750000000001</v>
      </c>
      <c r="AZ51" s="63">
        <v>7</v>
      </c>
      <c r="BA51" s="63">
        <v>5</v>
      </c>
      <c r="BB51" s="64">
        <v>15</v>
      </c>
      <c r="BC51" s="62">
        <f t="shared" si="16"/>
        <v>784.88999999999999</v>
      </c>
      <c r="BD51" s="62">
        <f t="shared" si="17"/>
        <v>76.43249999999999</v>
      </c>
      <c r="BE51" s="63">
        <v>8</v>
      </c>
      <c r="BF51" s="63">
        <v>6</v>
      </c>
      <c r="BG51" s="64">
        <v>12</v>
      </c>
      <c r="BH51" s="62">
        <f t="shared" si="18"/>
        <v>893.85000000000002</v>
      </c>
      <c r="BI51" s="62">
        <f t="shared" si="19"/>
        <v>75.712499999999991</v>
      </c>
      <c r="BJ51" s="63">
        <v>12</v>
      </c>
      <c r="BK51" s="63">
        <v>9</v>
      </c>
      <c r="BL51" s="64">
        <v>14</v>
      </c>
      <c r="BM51" s="52">
        <v>5000</v>
      </c>
      <c r="BN51" s="62">
        <f t="shared" si="20"/>
        <v>940.20749999999998</v>
      </c>
      <c r="BO51" s="52">
        <v>5500</v>
      </c>
      <c r="BP51" s="62">
        <f t="shared" si="21"/>
        <v>942.98625000000004</v>
      </c>
      <c r="BQ51" s="52">
        <v>50000</v>
      </c>
      <c r="BR51" s="62">
        <f t="shared" si="22"/>
        <v>4606.5149999999994</v>
      </c>
      <c r="BS51" s="52">
        <v>51000</v>
      </c>
      <c r="BT51" s="62">
        <f t="shared" si="23"/>
        <v>4755.1875</v>
      </c>
      <c r="BU51" s="62">
        <v>90</v>
      </c>
      <c r="BV51" s="62">
        <v>45.030000000000001</v>
      </c>
      <c r="BY51" s="62">
        <v>90</v>
      </c>
      <c r="BZ51" s="62">
        <v>45.030000000000001</v>
      </c>
      <c r="CC51" s="62">
        <v>305</v>
      </c>
      <c r="CD51" s="62">
        <v>24.050000000000001</v>
      </c>
      <c r="CG51" s="62">
        <v>305</v>
      </c>
      <c r="CH51" s="62">
        <v>24.050000000000001</v>
      </c>
      <c r="CK51" s="62">
        <v>125</v>
      </c>
      <c r="CL51" s="62">
        <v>125</v>
      </c>
      <c r="CM51" s="62">
        <v>125</v>
      </c>
      <c r="CN51" s="62">
        <v>125</v>
      </c>
      <c r="CO51" s="62">
        <v>125</v>
      </c>
      <c r="CP51" s="62">
        <v>125</v>
      </c>
      <c r="CQ51" s="62">
        <v>125</v>
      </c>
      <c r="CR51" s="62">
        <v>125</v>
      </c>
      <c r="CS51" s="130">
        <v>25.300000000000001</v>
      </c>
      <c r="CT51" s="130">
        <v>14.199999999999999</v>
      </c>
      <c r="CU51" s="51" t="s">
        <v>175</v>
      </c>
      <c r="CW51" s="130">
        <v>16.399999999999999</v>
      </c>
      <c r="CX51" s="130">
        <v>10.9</v>
      </c>
      <c r="CY51" s="51" t="s">
        <v>175</v>
      </c>
      <c r="DA51" s="130">
        <v>41.100000000000001</v>
      </c>
      <c r="DB51" s="130">
        <v>9.3000000000000007</v>
      </c>
      <c r="DC51" s="51" t="s">
        <v>175</v>
      </c>
      <c r="DE51" s="130">
        <v>86.5</v>
      </c>
      <c r="DF51" s="130">
        <v>9</v>
      </c>
      <c r="DG51" s="51" t="s">
        <v>175</v>
      </c>
      <c r="DI51" s="62">
        <v>140</v>
      </c>
      <c r="DJ51" s="62">
        <v>140</v>
      </c>
      <c r="DK51" s="62">
        <v>140</v>
      </c>
      <c r="DL51" s="62">
        <v>140</v>
      </c>
      <c r="DM51" s="62">
        <v>140</v>
      </c>
      <c r="DN51" s="62">
        <v>140</v>
      </c>
      <c r="DO51" s="62">
        <v>140</v>
      </c>
      <c r="DP51" s="62">
        <v>140</v>
      </c>
    </row>
    <row r="52" s="51" customFormat="1" ht="15.75" customHeight="1">
      <c r="A52" s="52">
        <v>2000000</v>
      </c>
      <c r="B52" s="53" t="s">
        <v>157</v>
      </c>
      <c r="C52" s="75" t="s">
        <v>158</v>
      </c>
      <c r="D52" s="52">
        <v>2230000</v>
      </c>
      <c r="E52" s="54" t="s">
        <v>243</v>
      </c>
      <c r="F52" s="127" t="s">
        <v>244</v>
      </c>
      <c r="G52" s="55"/>
      <c r="H52" s="55"/>
      <c r="I52" s="53"/>
      <c r="J52" s="53"/>
      <c r="L52" s="53" t="s">
        <v>249</v>
      </c>
      <c r="M52" s="54" t="s">
        <v>243</v>
      </c>
      <c r="N52" s="57"/>
      <c r="O52" s="57"/>
      <c r="T52" s="57"/>
      <c r="U52" s="51" t="s">
        <v>247</v>
      </c>
      <c r="V52" s="51" t="s">
        <v>248</v>
      </c>
      <c r="W52" s="51" t="s">
        <v>166</v>
      </c>
      <c r="X52" s="57" t="s">
        <v>167</v>
      </c>
      <c r="Y52" s="51" t="s">
        <v>168</v>
      </c>
      <c r="Z52" s="51" t="s">
        <v>169</v>
      </c>
      <c r="AD52" s="51" t="s">
        <v>170</v>
      </c>
      <c r="AE52" s="51" t="s">
        <v>171</v>
      </c>
      <c r="AF52" s="51" t="s">
        <v>171</v>
      </c>
      <c r="AG52" s="57" t="s">
        <v>214</v>
      </c>
      <c r="AH52" s="57"/>
      <c r="AI52" s="57"/>
      <c r="AJ52" s="57"/>
      <c r="AK52" s="57"/>
      <c r="AL52" s="57" t="s">
        <v>187</v>
      </c>
      <c r="AN52" s="106" t="s">
        <v>174</v>
      </c>
      <c r="AO52" s="51">
        <v>500</v>
      </c>
      <c r="AP52" s="60">
        <v>100000</v>
      </c>
      <c r="AQ52" s="64">
        <v>5.2999999999999998</v>
      </c>
      <c r="AR52" s="51" t="s">
        <v>92</v>
      </c>
      <c r="AS52" s="62">
        <f t="shared" si="12"/>
        <v>343.57499999999999</v>
      </c>
      <c r="AT52" s="62">
        <f t="shared" si="13"/>
        <v>146.91</v>
      </c>
      <c r="AU52" s="63">
        <v>8</v>
      </c>
      <c r="AV52" s="63">
        <v>6</v>
      </c>
      <c r="AW52" s="64">
        <v>24</v>
      </c>
      <c r="AX52" s="62">
        <f t="shared" si="14"/>
        <v>363.495</v>
      </c>
      <c r="AY52" s="62">
        <f t="shared" si="15"/>
        <v>142.11000000000001</v>
      </c>
      <c r="AZ52" s="63">
        <v>8</v>
      </c>
      <c r="BA52" s="63">
        <v>6</v>
      </c>
      <c r="BB52" s="64">
        <v>15</v>
      </c>
      <c r="BC52" s="62">
        <f t="shared" si="16"/>
        <v>844.53000000000009</v>
      </c>
      <c r="BD52" s="62">
        <f t="shared" si="17"/>
        <v>91.410000000000011</v>
      </c>
      <c r="BE52" s="63">
        <v>9</v>
      </c>
      <c r="BF52" s="63">
        <v>7</v>
      </c>
      <c r="BG52" s="64">
        <v>12</v>
      </c>
      <c r="BH52" s="62">
        <f t="shared" si="18"/>
        <v>1009.89</v>
      </c>
      <c r="BI52" s="62">
        <f t="shared" si="19"/>
        <v>89.730000000000004</v>
      </c>
      <c r="BJ52" s="63">
        <v>13</v>
      </c>
      <c r="BK52" s="63">
        <v>10</v>
      </c>
      <c r="BL52" s="64">
        <v>14</v>
      </c>
      <c r="BM52" s="52">
        <v>5000</v>
      </c>
      <c r="BN52" s="62">
        <f t="shared" si="20"/>
        <v>1078.125</v>
      </c>
      <c r="BO52" s="52">
        <v>5500</v>
      </c>
      <c r="BP52" s="62">
        <f t="shared" si="21"/>
        <v>1145.1000000000001</v>
      </c>
      <c r="BQ52" s="52">
        <v>50000</v>
      </c>
      <c r="BR52" s="62">
        <f t="shared" si="22"/>
        <v>5415.0300000000007</v>
      </c>
      <c r="BS52" s="52">
        <v>51000</v>
      </c>
      <c r="BT52" s="62">
        <f t="shared" si="23"/>
        <v>5586.1199999999999</v>
      </c>
      <c r="BU52" s="62">
        <v>133.5</v>
      </c>
      <c r="BV52" s="62">
        <v>50.039999999999999</v>
      </c>
      <c r="BY52" s="62">
        <v>133.5</v>
      </c>
      <c r="BZ52" s="62">
        <v>50.039999999999999</v>
      </c>
      <c r="CC52" s="62">
        <v>325</v>
      </c>
      <c r="CD52" s="62">
        <v>29</v>
      </c>
      <c r="CG52" s="62">
        <v>325</v>
      </c>
      <c r="CH52" s="62">
        <v>29</v>
      </c>
      <c r="CK52" s="62">
        <v>125</v>
      </c>
      <c r="CL52" s="62">
        <v>125</v>
      </c>
      <c r="CM52" s="62">
        <v>125</v>
      </c>
      <c r="CN52" s="62">
        <v>125</v>
      </c>
      <c r="CO52" s="62">
        <v>125</v>
      </c>
      <c r="CP52" s="62">
        <v>125</v>
      </c>
      <c r="CQ52" s="62">
        <v>125</v>
      </c>
      <c r="CR52" s="62">
        <v>125</v>
      </c>
      <c r="CS52" s="130">
        <v>18</v>
      </c>
      <c r="CT52" s="130">
        <v>14.300000000000001</v>
      </c>
      <c r="CU52" s="51" t="s">
        <v>175</v>
      </c>
      <c r="CW52" s="130">
        <v>26.300000000000001</v>
      </c>
      <c r="CX52" s="130">
        <v>12.300000000000001</v>
      </c>
      <c r="CY52" s="51" t="s">
        <v>175</v>
      </c>
      <c r="DA52" s="130">
        <v>47.200000000000003</v>
      </c>
      <c r="DB52" s="130">
        <v>10.9</v>
      </c>
      <c r="DC52" s="51" t="s">
        <v>175</v>
      </c>
      <c r="DE52" s="130">
        <v>116.09999999999999</v>
      </c>
      <c r="DF52" s="130">
        <v>10.199999999999999</v>
      </c>
      <c r="DG52" s="51" t="s">
        <v>175</v>
      </c>
      <c r="DI52" s="62">
        <v>140</v>
      </c>
      <c r="DJ52" s="62">
        <v>140</v>
      </c>
      <c r="DK52" s="62">
        <v>140</v>
      </c>
      <c r="DL52" s="62">
        <v>140</v>
      </c>
      <c r="DM52" s="62">
        <v>140</v>
      </c>
      <c r="DN52" s="62">
        <v>140</v>
      </c>
      <c r="DO52" s="62">
        <v>140</v>
      </c>
      <c r="DP52" s="62">
        <v>140</v>
      </c>
    </row>
    <row r="53" s="51" customFormat="1" ht="15.75" customHeight="1">
      <c r="A53" s="52">
        <v>2000000</v>
      </c>
      <c r="B53" s="53" t="s">
        <v>157</v>
      </c>
      <c r="C53" s="75" t="s">
        <v>158</v>
      </c>
      <c r="D53" s="52">
        <v>2230000</v>
      </c>
      <c r="E53" s="54" t="s">
        <v>243</v>
      </c>
      <c r="F53" s="127" t="s">
        <v>244</v>
      </c>
      <c r="G53" s="55"/>
      <c r="H53" s="55"/>
      <c r="I53" s="53"/>
      <c r="J53" s="53"/>
      <c r="L53" s="53" t="s">
        <v>250</v>
      </c>
      <c r="M53" s="54" t="s">
        <v>243</v>
      </c>
      <c r="N53" s="57"/>
      <c r="O53" s="57"/>
      <c r="T53" s="57"/>
      <c r="U53" s="51" t="s">
        <v>247</v>
      </c>
      <c r="V53" s="51" t="s">
        <v>248</v>
      </c>
      <c r="W53" s="51" t="s">
        <v>166</v>
      </c>
      <c r="X53" s="57" t="s">
        <v>167</v>
      </c>
      <c r="Y53" s="51" t="s">
        <v>177</v>
      </c>
      <c r="Z53" s="51" t="s">
        <v>169</v>
      </c>
      <c r="AD53" s="51" t="s">
        <v>170</v>
      </c>
      <c r="AE53" s="51" t="s">
        <v>171</v>
      </c>
      <c r="AF53" s="51" t="s">
        <v>171</v>
      </c>
      <c r="AG53" s="57" t="s">
        <v>214</v>
      </c>
      <c r="AH53" s="57"/>
      <c r="AI53" s="57"/>
      <c r="AJ53" s="57"/>
      <c r="AK53" s="57"/>
      <c r="AL53" s="57" t="s">
        <v>173</v>
      </c>
      <c r="AN53" s="106" t="s">
        <v>174</v>
      </c>
      <c r="AO53" s="51">
        <v>500</v>
      </c>
      <c r="AP53" s="60">
        <v>100000</v>
      </c>
      <c r="AQ53" s="64">
        <v>7.7999999999999998</v>
      </c>
      <c r="AR53" s="51" t="s">
        <v>92</v>
      </c>
      <c r="AS53" s="62">
        <f t="shared" si="12"/>
        <v>286.5</v>
      </c>
      <c r="AT53" s="62">
        <f t="shared" si="13"/>
        <v>159.8775</v>
      </c>
      <c r="AU53" s="63">
        <v>7</v>
      </c>
      <c r="AV53" s="63">
        <v>5</v>
      </c>
      <c r="AW53" s="64">
        <v>24</v>
      </c>
      <c r="AX53" s="62">
        <f t="shared" si="14"/>
        <v>292.01999999999998</v>
      </c>
      <c r="AY53" s="62">
        <f t="shared" si="15"/>
        <v>150.75749999999999</v>
      </c>
      <c r="AZ53" s="63">
        <v>7</v>
      </c>
      <c r="BA53" s="63">
        <v>5</v>
      </c>
      <c r="BB53" s="64">
        <v>15</v>
      </c>
      <c r="BC53" s="62">
        <f t="shared" si="16"/>
        <v>887.85000000000002</v>
      </c>
      <c r="BD53" s="62">
        <f t="shared" si="17"/>
        <v>101.3925</v>
      </c>
      <c r="BE53" s="63">
        <v>8</v>
      </c>
      <c r="BF53" s="63">
        <v>6</v>
      </c>
      <c r="BG53" s="64">
        <v>12</v>
      </c>
      <c r="BH53" s="62">
        <f t="shared" si="18"/>
        <v>1175.3699999999999</v>
      </c>
      <c r="BI53" s="62">
        <f t="shared" si="19"/>
        <v>99.232499999999987</v>
      </c>
      <c r="BJ53" s="63">
        <v>12</v>
      </c>
      <c r="BK53" s="63">
        <v>9</v>
      </c>
      <c r="BL53" s="64">
        <v>14</v>
      </c>
      <c r="BM53" s="52">
        <v>5000</v>
      </c>
      <c r="BN53" s="62">
        <f t="shared" si="20"/>
        <v>1085.8875</v>
      </c>
      <c r="BO53" s="52">
        <v>5500</v>
      </c>
      <c r="BP53" s="62">
        <f t="shared" si="21"/>
        <v>1121.18625</v>
      </c>
      <c r="BQ53" s="52">
        <v>50000</v>
      </c>
      <c r="BR53" s="62">
        <f t="shared" si="22"/>
        <v>5957.4750000000004</v>
      </c>
      <c r="BS53" s="52">
        <v>51000</v>
      </c>
      <c r="BT53" s="62">
        <f t="shared" si="23"/>
        <v>6236.2274999999991</v>
      </c>
      <c r="BU53" s="62">
        <v>90</v>
      </c>
      <c r="BV53" s="62">
        <v>45.030000000000001</v>
      </c>
      <c r="BY53" s="62">
        <v>90</v>
      </c>
      <c r="BZ53" s="62">
        <v>45.030000000000001</v>
      </c>
      <c r="CC53" s="62">
        <v>305</v>
      </c>
      <c r="CD53" s="62">
        <v>24.050000000000001</v>
      </c>
      <c r="CG53" s="62">
        <v>305</v>
      </c>
      <c r="CH53" s="62">
        <v>24.050000000000001</v>
      </c>
      <c r="CK53" s="62">
        <v>125</v>
      </c>
      <c r="CL53" s="62">
        <v>125</v>
      </c>
      <c r="CM53" s="62">
        <v>125</v>
      </c>
      <c r="CN53" s="62">
        <v>125</v>
      </c>
      <c r="CO53" s="62">
        <v>125</v>
      </c>
      <c r="CP53" s="62">
        <v>125</v>
      </c>
      <c r="CQ53" s="62">
        <v>125</v>
      </c>
      <c r="CR53" s="62">
        <v>125</v>
      </c>
      <c r="CS53" s="130">
        <v>35</v>
      </c>
      <c r="CT53" s="130">
        <v>24.399999999999999</v>
      </c>
      <c r="CU53" s="51" t="s">
        <v>175</v>
      </c>
      <c r="CW53" s="130">
        <v>37.299999999999997</v>
      </c>
      <c r="CX53" s="130">
        <v>20.600000000000001</v>
      </c>
      <c r="CY53" s="51" t="s">
        <v>175</v>
      </c>
      <c r="DA53" s="130">
        <v>84</v>
      </c>
      <c r="DB53" s="130">
        <v>19.699999999999999</v>
      </c>
      <c r="DC53" s="51" t="s">
        <v>175</v>
      </c>
      <c r="DE53" s="130">
        <v>203.80000000000001</v>
      </c>
      <c r="DF53" s="130">
        <v>18.800000000000001</v>
      </c>
      <c r="DG53" s="51" t="s">
        <v>175</v>
      </c>
      <c r="DI53" s="62">
        <v>140</v>
      </c>
      <c r="DJ53" s="62">
        <v>140</v>
      </c>
      <c r="DK53" s="62">
        <v>140</v>
      </c>
      <c r="DL53" s="62">
        <v>140</v>
      </c>
      <c r="DM53" s="62">
        <v>140</v>
      </c>
      <c r="DN53" s="62">
        <v>140</v>
      </c>
      <c r="DO53" s="62">
        <v>140</v>
      </c>
      <c r="DP53" s="62">
        <v>140</v>
      </c>
    </row>
    <row r="54" s="51" customFormat="1" ht="15.75" customHeight="1">
      <c r="A54" s="52">
        <v>2000000</v>
      </c>
      <c r="B54" s="53" t="s">
        <v>157</v>
      </c>
      <c r="C54" s="75" t="s">
        <v>158</v>
      </c>
      <c r="D54" s="52">
        <v>2230000</v>
      </c>
      <c r="E54" s="54" t="s">
        <v>243</v>
      </c>
      <c r="F54" s="127" t="s">
        <v>244</v>
      </c>
      <c r="G54" s="55"/>
      <c r="H54" s="55"/>
      <c r="I54" s="53"/>
      <c r="J54" s="53"/>
      <c r="L54" s="53" t="s">
        <v>251</v>
      </c>
      <c r="M54" s="54" t="s">
        <v>243</v>
      </c>
      <c r="N54" s="57"/>
      <c r="O54" s="57"/>
      <c r="T54" s="57"/>
      <c r="U54" s="51" t="s">
        <v>247</v>
      </c>
      <c r="V54" s="51" t="s">
        <v>248</v>
      </c>
      <c r="W54" s="51" t="s">
        <v>166</v>
      </c>
      <c r="X54" s="57" t="s">
        <v>167</v>
      </c>
      <c r="Y54" s="51" t="s">
        <v>177</v>
      </c>
      <c r="Z54" s="51" t="s">
        <v>169</v>
      </c>
      <c r="AD54" s="51" t="s">
        <v>170</v>
      </c>
      <c r="AE54" s="51" t="s">
        <v>171</v>
      </c>
      <c r="AF54" s="51" t="s">
        <v>171</v>
      </c>
      <c r="AG54" s="57" t="s">
        <v>214</v>
      </c>
      <c r="AH54" s="57"/>
      <c r="AI54" s="57"/>
      <c r="AJ54" s="57"/>
      <c r="AK54" s="57"/>
      <c r="AL54" s="57" t="s">
        <v>187</v>
      </c>
      <c r="AN54" s="106" t="s">
        <v>174</v>
      </c>
      <c r="AO54" s="51">
        <v>500</v>
      </c>
      <c r="AP54" s="60">
        <v>100000</v>
      </c>
      <c r="AQ54" s="64">
        <v>7.7999999999999998</v>
      </c>
      <c r="AR54" s="51" t="s">
        <v>92</v>
      </c>
      <c r="AS54" s="62">
        <f t="shared" si="12"/>
        <v>371.11500000000001</v>
      </c>
      <c r="AT54" s="62">
        <f t="shared" si="13"/>
        <v>157.22999999999999</v>
      </c>
      <c r="AU54" s="63">
        <v>8</v>
      </c>
      <c r="AV54" s="63">
        <v>6</v>
      </c>
      <c r="AW54" s="64">
        <v>24</v>
      </c>
      <c r="AX54" s="62">
        <f t="shared" si="14"/>
        <v>399.43499999999995</v>
      </c>
      <c r="AY54" s="62">
        <f t="shared" si="15"/>
        <v>150.75</v>
      </c>
      <c r="AZ54" s="63">
        <v>8</v>
      </c>
      <c r="BA54" s="63">
        <v>6</v>
      </c>
      <c r="BB54" s="64">
        <v>15</v>
      </c>
      <c r="BC54" s="62">
        <f t="shared" si="16"/>
        <v>873.56999999999994</v>
      </c>
      <c r="BD54" s="62">
        <f t="shared" si="17"/>
        <v>99.329999999999998</v>
      </c>
      <c r="BE54" s="63">
        <v>9</v>
      </c>
      <c r="BF54" s="63">
        <v>7</v>
      </c>
      <c r="BG54" s="64">
        <v>12</v>
      </c>
      <c r="BH54" s="62">
        <f t="shared" si="18"/>
        <v>1013.25</v>
      </c>
      <c r="BI54" s="62">
        <f t="shared" si="19"/>
        <v>98.849999999999994</v>
      </c>
      <c r="BJ54" s="63">
        <v>13</v>
      </c>
      <c r="BK54" s="63">
        <v>10</v>
      </c>
      <c r="BL54" s="64">
        <v>14</v>
      </c>
      <c r="BM54" s="52">
        <v>5000</v>
      </c>
      <c r="BN54" s="62">
        <f t="shared" si="20"/>
        <v>1157.2649999999999</v>
      </c>
      <c r="BO54" s="52">
        <v>5500</v>
      </c>
      <c r="BP54" s="62">
        <f t="shared" si="21"/>
        <v>1228.5599999999999</v>
      </c>
      <c r="BQ54" s="52">
        <v>50000</v>
      </c>
      <c r="BR54" s="62">
        <f t="shared" si="22"/>
        <v>5840.0699999999997</v>
      </c>
      <c r="BS54" s="52">
        <v>100000</v>
      </c>
      <c r="BT54" s="62">
        <f t="shared" si="23"/>
        <v>10898.25</v>
      </c>
      <c r="BU54" s="62">
        <v>143.5</v>
      </c>
      <c r="BV54" s="62">
        <v>50.039999999999999</v>
      </c>
      <c r="BY54" s="62">
        <v>143.5</v>
      </c>
      <c r="BZ54" s="62">
        <v>50.039999999999999</v>
      </c>
      <c r="CC54" s="62">
        <v>325</v>
      </c>
      <c r="CD54" s="62">
        <v>29</v>
      </c>
      <c r="CG54" s="62">
        <v>325</v>
      </c>
      <c r="CH54" s="62">
        <v>29</v>
      </c>
      <c r="CK54" s="62">
        <v>125</v>
      </c>
      <c r="CL54" s="62">
        <v>125</v>
      </c>
      <c r="CM54" s="62">
        <v>125</v>
      </c>
      <c r="CN54" s="62">
        <v>125</v>
      </c>
      <c r="CO54" s="62">
        <v>125</v>
      </c>
      <c r="CP54" s="62">
        <v>125</v>
      </c>
      <c r="CQ54" s="62">
        <v>125</v>
      </c>
      <c r="CR54" s="62">
        <v>125</v>
      </c>
      <c r="CS54" s="130">
        <v>20.100000000000001</v>
      </c>
      <c r="CT54" s="130">
        <v>18.600000000000001</v>
      </c>
      <c r="CU54" s="51" t="s">
        <v>175</v>
      </c>
      <c r="CW54" s="130">
        <v>31.899999999999999</v>
      </c>
      <c r="CX54" s="130">
        <v>15.9</v>
      </c>
      <c r="CY54" s="51" t="s">
        <v>175</v>
      </c>
      <c r="DA54" s="130">
        <v>59.299999999999997</v>
      </c>
      <c r="DB54" s="130">
        <v>14.199999999999999</v>
      </c>
      <c r="DC54" s="51" t="s">
        <v>175</v>
      </c>
      <c r="DE54" s="130">
        <v>117.5</v>
      </c>
      <c r="DF54" s="130">
        <v>14</v>
      </c>
      <c r="DG54" s="51" t="s">
        <v>175</v>
      </c>
      <c r="DI54" s="62">
        <v>140</v>
      </c>
      <c r="DJ54" s="62">
        <v>140</v>
      </c>
      <c r="DK54" s="62">
        <v>140</v>
      </c>
      <c r="DL54" s="62">
        <v>140</v>
      </c>
      <c r="DM54" s="62">
        <v>140</v>
      </c>
      <c r="DN54" s="62">
        <v>140</v>
      </c>
      <c r="DO54" s="62">
        <v>140</v>
      </c>
      <c r="DP54" s="62">
        <v>140</v>
      </c>
    </row>
    <row r="55" s="51" customFormat="1" ht="15.75" customHeight="1">
      <c r="A55" s="52">
        <v>2000000</v>
      </c>
      <c r="B55" s="53" t="s">
        <v>157</v>
      </c>
      <c r="C55" s="75" t="s">
        <v>158</v>
      </c>
      <c r="D55" s="52">
        <v>2230000</v>
      </c>
      <c r="E55" s="54" t="s">
        <v>243</v>
      </c>
      <c r="F55" s="127" t="s">
        <v>244</v>
      </c>
      <c r="G55" s="55"/>
      <c r="H55" s="55"/>
      <c r="I55" s="53"/>
      <c r="J55" s="53"/>
      <c r="L55" s="53" t="s">
        <v>252</v>
      </c>
      <c r="M55" s="54" t="s">
        <v>243</v>
      </c>
      <c r="N55" s="131" t="s">
        <v>253</v>
      </c>
      <c r="O55" s="131"/>
      <c r="T55" s="57"/>
      <c r="U55" s="51" t="s">
        <v>247</v>
      </c>
      <c r="V55" s="51" t="s">
        <v>254</v>
      </c>
      <c r="W55" s="51" t="s">
        <v>182</v>
      </c>
      <c r="X55" s="57" t="s">
        <v>167</v>
      </c>
      <c r="Y55" s="51" t="s">
        <v>183</v>
      </c>
      <c r="Z55" s="51" t="s">
        <v>169</v>
      </c>
      <c r="AD55" s="51" t="s">
        <v>170</v>
      </c>
      <c r="AE55" s="51" t="s">
        <v>171</v>
      </c>
      <c r="AF55" s="51" t="s">
        <v>171</v>
      </c>
      <c r="AG55" s="57" t="s">
        <v>219</v>
      </c>
      <c r="AH55" s="57"/>
      <c r="AI55" s="57"/>
      <c r="AJ55" s="57"/>
      <c r="AK55" s="57"/>
      <c r="AL55" s="57" t="s">
        <v>173</v>
      </c>
      <c r="AN55" s="106" t="s">
        <v>174</v>
      </c>
      <c r="AO55" s="51">
        <v>500</v>
      </c>
      <c r="AP55" s="60">
        <v>100000</v>
      </c>
      <c r="AQ55" s="64">
        <v>6.2999999999999998</v>
      </c>
      <c r="AR55" s="51" t="s">
        <v>92</v>
      </c>
      <c r="AS55" s="62">
        <f t="shared" si="12"/>
        <v>286.5</v>
      </c>
      <c r="AT55" s="62">
        <f t="shared" si="13"/>
        <v>157.23749999999998</v>
      </c>
      <c r="AU55" s="63">
        <v>7</v>
      </c>
      <c r="AV55" s="63">
        <v>5</v>
      </c>
      <c r="AW55" s="64">
        <v>24</v>
      </c>
      <c r="AX55" s="62">
        <f t="shared" si="14"/>
        <v>267.06</v>
      </c>
      <c r="AY55" s="62">
        <f t="shared" si="15"/>
        <v>145.23749999999998</v>
      </c>
      <c r="AZ55" s="63">
        <v>7</v>
      </c>
      <c r="BA55" s="63">
        <v>5</v>
      </c>
      <c r="BB55" s="64">
        <v>15</v>
      </c>
      <c r="BC55" s="62">
        <f t="shared" si="16"/>
        <v>818.00999999999999</v>
      </c>
      <c r="BD55" s="62">
        <f t="shared" si="17"/>
        <v>92.992500000000007</v>
      </c>
      <c r="BE55" s="63">
        <v>8</v>
      </c>
      <c r="BF55" s="63">
        <v>6</v>
      </c>
      <c r="BG55" s="64">
        <v>12</v>
      </c>
      <c r="BH55" s="62">
        <f t="shared" si="18"/>
        <v>1019.3699999999999</v>
      </c>
      <c r="BI55" s="62">
        <f t="shared" si="19"/>
        <v>91.792500000000004</v>
      </c>
      <c r="BJ55" s="63">
        <v>12</v>
      </c>
      <c r="BK55" s="63">
        <v>9</v>
      </c>
      <c r="BL55" s="64">
        <v>14</v>
      </c>
      <c r="BM55" s="52">
        <v>5000</v>
      </c>
      <c r="BN55" s="62">
        <f t="shared" si="20"/>
        <v>1072.6875</v>
      </c>
      <c r="BO55" s="52">
        <v>5500</v>
      </c>
      <c r="BP55" s="62">
        <f t="shared" si="21"/>
        <v>1065.8662499999998</v>
      </c>
      <c r="BQ55" s="52">
        <v>50000</v>
      </c>
      <c r="BR55" s="62">
        <f t="shared" si="22"/>
        <v>5467.6350000000002</v>
      </c>
      <c r="BS55" s="52">
        <v>100000</v>
      </c>
      <c r="BT55" s="62">
        <f t="shared" si="23"/>
        <v>10198.619999999999</v>
      </c>
      <c r="BU55" s="62">
        <v>90</v>
      </c>
      <c r="BV55" s="62">
        <v>45.030000000000001</v>
      </c>
      <c r="BY55" s="62">
        <v>90</v>
      </c>
      <c r="BZ55" s="62">
        <v>45.030000000000001</v>
      </c>
      <c r="CC55" s="62">
        <v>305</v>
      </c>
      <c r="CD55" s="62">
        <v>24.050000000000001</v>
      </c>
      <c r="CG55" s="62">
        <v>305</v>
      </c>
      <c r="CH55" s="62">
        <v>24.050000000000001</v>
      </c>
      <c r="CK55" s="62">
        <v>125</v>
      </c>
      <c r="CL55" s="62">
        <v>125</v>
      </c>
      <c r="CM55" s="62">
        <v>125</v>
      </c>
      <c r="CN55" s="62">
        <v>125</v>
      </c>
      <c r="CO55" s="62">
        <v>125</v>
      </c>
      <c r="CP55" s="62">
        <v>125</v>
      </c>
      <c r="CQ55" s="62">
        <v>125</v>
      </c>
      <c r="CR55" s="62">
        <v>125</v>
      </c>
      <c r="CS55" s="130">
        <v>35</v>
      </c>
      <c r="CT55" s="130">
        <v>23.300000000000001</v>
      </c>
      <c r="CU55" s="51" t="s">
        <v>175</v>
      </c>
      <c r="CW55" s="130">
        <v>26.899999999999999</v>
      </c>
      <c r="CX55" s="130">
        <v>18.300000000000001</v>
      </c>
      <c r="CY55" s="51" t="s">
        <v>175</v>
      </c>
      <c r="DA55" s="130">
        <v>54.899999999999999</v>
      </c>
      <c r="DB55" s="130">
        <v>16.199999999999999</v>
      </c>
      <c r="DC55" s="51" t="s">
        <v>175</v>
      </c>
      <c r="DE55" s="130">
        <v>138.80000000000001</v>
      </c>
      <c r="DF55" s="130">
        <v>15.699999999999999</v>
      </c>
      <c r="DG55" s="51" t="s">
        <v>175</v>
      </c>
      <c r="DI55" s="62">
        <v>140</v>
      </c>
      <c r="DJ55" s="62">
        <v>140</v>
      </c>
      <c r="DK55" s="62">
        <v>140</v>
      </c>
      <c r="DL55" s="62">
        <v>140</v>
      </c>
      <c r="DM55" s="62">
        <v>140</v>
      </c>
      <c r="DN55" s="62">
        <v>140</v>
      </c>
      <c r="DO55" s="62">
        <v>140</v>
      </c>
      <c r="DP55" s="62">
        <v>140</v>
      </c>
    </row>
    <row r="56" s="51" customFormat="1" ht="15.75" customHeight="1">
      <c r="A56" s="52">
        <v>2000000</v>
      </c>
      <c r="B56" s="53" t="s">
        <v>157</v>
      </c>
      <c r="C56" s="75" t="s">
        <v>158</v>
      </c>
      <c r="D56" s="52">
        <v>2230000</v>
      </c>
      <c r="E56" s="54" t="s">
        <v>243</v>
      </c>
      <c r="F56" s="127" t="s">
        <v>244</v>
      </c>
      <c r="G56" s="55"/>
      <c r="H56" s="55"/>
      <c r="I56" s="53"/>
      <c r="J56" s="53"/>
      <c r="L56" s="53" t="s">
        <v>255</v>
      </c>
      <c r="M56" s="54" t="s">
        <v>243</v>
      </c>
      <c r="N56" s="131"/>
      <c r="O56" s="131"/>
      <c r="T56" s="57"/>
      <c r="U56" s="51" t="s">
        <v>247</v>
      </c>
      <c r="V56" s="51" t="s">
        <v>254</v>
      </c>
      <c r="W56" s="51" t="s">
        <v>182</v>
      </c>
      <c r="X56" s="57" t="s">
        <v>167</v>
      </c>
      <c r="Y56" s="51" t="s">
        <v>168</v>
      </c>
      <c r="Z56" s="51" t="s">
        <v>169</v>
      </c>
      <c r="AD56" s="51" t="s">
        <v>170</v>
      </c>
      <c r="AE56" s="51" t="s">
        <v>171</v>
      </c>
      <c r="AF56" s="51" t="s">
        <v>171</v>
      </c>
      <c r="AG56" s="57" t="s">
        <v>219</v>
      </c>
      <c r="AH56" s="57"/>
      <c r="AI56" s="57"/>
      <c r="AJ56" s="57"/>
      <c r="AK56" s="57"/>
      <c r="AL56" s="57" t="s">
        <v>173</v>
      </c>
      <c r="AN56" s="106" t="s">
        <v>174</v>
      </c>
      <c r="AO56" s="51">
        <v>500</v>
      </c>
      <c r="AP56" s="60">
        <v>100000</v>
      </c>
      <c r="AQ56" s="64">
        <v>8</v>
      </c>
      <c r="AR56" s="51" t="s">
        <v>92</v>
      </c>
      <c r="AS56" s="62">
        <f t="shared" si="12"/>
        <v>298.5</v>
      </c>
      <c r="AT56" s="62">
        <f t="shared" si="13"/>
        <v>168.2775</v>
      </c>
      <c r="AU56" s="63">
        <v>7</v>
      </c>
      <c r="AV56" s="63">
        <v>5</v>
      </c>
      <c r="AW56" s="64">
        <v>24</v>
      </c>
      <c r="AX56" s="62">
        <f t="shared" si="14"/>
        <v>282.66000000000003</v>
      </c>
      <c r="AY56" s="62">
        <f t="shared" si="15"/>
        <v>161.79750000000001</v>
      </c>
      <c r="AZ56" s="63">
        <v>7</v>
      </c>
      <c r="BA56" s="63">
        <v>5</v>
      </c>
      <c r="BB56" s="64">
        <v>15</v>
      </c>
      <c r="BC56" s="62">
        <f t="shared" si="16"/>
        <v>908.00999999999999</v>
      </c>
      <c r="BD56" s="62">
        <f t="shared" si="17"/>
        <v>108.1125</v>
      </c>
      <c r="BE56" s="63">
        <v>8</v>
      </c>
      <c r="BF56" s="63">
        <v>6</v>
      </c>
      <c r="BG56" s="64">
        <v>12</v>
      </c>
      <c r="BH56" s="62">
        <f t="shared" si="18"/>
        <v>1216.6500000000001</v>
      </c>
      <c r="BI56" s="62">
        <f t="shared" si="19"/>
        <v>104.7525</v>
      </c>
      <c r="BJ56" s="63">
        <v>12</v>
      </c>
      <c r="BK56" s="63">
        <v>9</v>
      </c>
      <c r="BL56" s="64">
        <v>14</v>
      </c>
      <c r="BM56" s="52">
        <v>5000</v>
      </c>
      <c r="BN56" s="62">
        <f t="shared" si="20"/>
        <v>1139.8875</v>
      </c>
      <c r="BO56" s="52">
        <v>5500</v>
      </c>
      <c r="BP56" s="62">
        <f t="shared" si="21"/>
        <v>1172.5462500000001</v>
      </c>
      <c r="BQ56" s="52">
        <v>50000</v>
      </c>
      <c r="BR56" s="62">
        <f t="shared" si="22"/>
        <v>6313.6350000000002</v>
      </c>
      <c r="BS56" s="52">
        <v>100000</v>
      </c>
      <c r="BT56" s="62">
        <f t="shared" si="23"/>
        <v>11691.9</v>
      </c>
      <c r="BU56" s="62">
        <v>90</v>
      </c>
      <c r="BV56" s="62">
        <v>45.030000000000001</v>
      </c>
      <c r="BY56" s="62">
        <v>90</v>
      </c>
      <c r="BZ56" s="62">
        <v>45.030000000000001</v>
      </c>
      <c r="CC56" s="62">
        <v>305</v>
      </c>
      <c r="CD56" s="62">
        <v>24.050000000000001</v>
      </c>
      <c r="CG56" s="62">
        <v>305</v>
      </c>
      <c r="CH56" s="62">
        <v>24.050000000000001</v>
      </c>
      <c r="CK56" s="62">
        <v>125</v>
      </c>
      <c r="CL56" s="62">
        <v>125</v>
      </c>
      <c r="CM56" s="62">
        <v>125</v>
      </c>
      <c r="CN56" s="62">
        <v>125</v>
      </c>
      <c r="CO56" s="62">
        <v>125</v>
      </c>
      <c r="CP56" s="62">
        <v>125</v>
      </c>
      <c r="CQ56" s="62">
        <v>125</v>
      </c>
      <c r="CR56" s="62">
        <v>125</v>
      </c>
      <c r="CS56" s="130">
        <v>40</v>
      </c>
      <c r="CT56" s="130">
        <v>27.899999999999999</v>
      </c>
      <c r="CU56" s="51" t="s">
        <v>175</v>
      </c>
      <c r="CW56" s="130">
        <v>33.399999999999999</v>
      </c>
      <c r="CX56" s="130">
        <v>25.199999999999999</v>
      </c>
      <c r="CY56" s="51" t="s">
        <v>175</v>
      </c>
      <c r="DA56" s="130">
        <v>92.400000000000006</v>
      </c>
      <c r="DB56" s="130">
        <v>22.5</v>
      </c>
      <c r="DC56" s="51" t="s">
        <v>175</v>
      </c>
      <c r="DE56" s="130">
        <v>221</v>
      </c>
      <c r="DF56" s="130">
        <v>21.100000000000001</v>
      </c>
      <c r="DG56" s="51" t="s">
        <v>175</v>
      </c>
      <c r="DI56" s="62">
        <v>140</v>
      </c>
      <c r="DJ56" s="62">
        <v>140</v>
      </c>
      <c r="DK56" s="62">
        <v>140</v>
      </c>
      <c r="DL56" s="62">
        <v>140</v>
      </c>
      <c r="DM56" s="62">
        <v>140</v>
      </c>
      <c r="DN56" s="62">
        <v>140</v>
      </c>
      <c r="DO56" s="62">
        <v>140</v>
      </c>
      <c r="DP56" s="62">
        <v>140</v>
      </c>
    </row>
    <row r="57" s="51" customFormat="1" ht="15.75" customHeight="1">
      <c r="A57" s="52">
        <v>2000000</v>
      </c>
      <c r="B57" s="53" t="s">
        <v>157</v>
      </c>
      <c r="C57" s="75" t="s">
        <v>158</v>
      </c>
      <c r="D57" s="52">
        <v>2230000</v>
      </c>
      <c r="E57" s="54" t="s">
        <v>243</v>
      </c>
      <c r="F57" s="127" t="s">
        <v>244</v>
      </c>
      <c r="G57" s="55"/>
      <c r="H57" s="55"/>
      <c r="I57" s="53"/>
      <c r="J57" s="53"/>
      <c r="L57" s="53" t="s">
        <v>256</v>
      </c>
      <c r="M57" s="54" t="s">
        <v>243</v>
      </c>
      <c r="N57" s="57"/>
      <c r="O57" s="57"/>
      <c r="T57" s="57"/>
      <c r="U57" s="51" t="s">
        <v>247</v>
      </c>
      <c r="V57" s="51" t="s">
        <v>254</v>
      </c>
      <c r="W57" s="51" t="s">
        <v>182</v>
      </c>
      <c r="X57" s="57" t="s">
        <v>167</v>
      </c>
      <c r="Y57" s="51" t="s">
        <v>168</v>
      </c>
      <c r="Z57" s="51" t="s">
        <v>169</v>
      </c>
      <c r="AD57" s="51" t="s">
        <v>170</v>
      </c>
      <c r="AE57" s="51" t="s">
        <v>171</v>
      </c>
      <c r="AF57" s="51" t="s">
        <v>171</v>
      </c>
      <c r="AG57" s="57" t="s">
        <v>219</v>
      </c>
      <c r="AH57" s="57"/>
      <c r="AI57" s="57"/>
      <c r="AJ57" s="57"/>
      <c r="AK57" s="57"/>
      <c r="AL57" s="57" t="s">
        <v>187</v>
      </c>
      <c r="AN57" s="106" t="s">
        <v>174</v>
      </c>
      <c r="AO57" s="51">
        <v>500</v>
      </c>
      <c r="AP57" s="60">
        <v>100000</v>
      </c>
      <c r="AQ57" s="64">
        <v>8</v>
      </c>
      <c r="AR57" s="51" t="s">
        <v>92</v>
      </c>
      <c r="AS57" s="62">
        <f t="shared" si="12"/>
        <v>480.375</v>
      </c>
      <c r="AT57" s="62">
        <f t="shared" si="13"/>
        <v>237.15000000000001</v>
      </c>
      <c r="AU57" s="63">
        <v>8</v>
      </c>
      <c r="AV57" s="63">
        <v>6</v>
      </c>
      <c r="AW57" s="64">
        <v>24</v>
      </c>
      <c r="AX57" s="62">
        <f t="shared" si="14"/>
        <v>513.73500000000001</v>
      </c>
      <c r="AY57" s="62">
        <f t="shared" si="15"/>
        <v>223.70999999999998</v>
      </c>
      <c r="AZ57" s="63">
        <v>8</v>
      </c>
      <c r="BA57" s="63">
        <v>6</v>
      </c>
      <c r="BB57" s="64">
        <v>15</v>
      </c>
      <c r="BC57" s="62">
        <f t="shared" si="16"/>
        <v>1494.45</v>
      </c>
      <c r="BD57" s="62">
        <f t="shared" si="17"/>
        <v>115.602</v>
      </c>
      <c r="BE57" s="63">
        <v>9</v>
      </c>
      <c r="BF57" s="63">
        <v>7</v>
      </c>
      <c r="BG57" s="64">
        <v>12</v>
      </c>
      <c r="BH57" s="62">
        <f t="shared" si="18"/>
        <v>1494.45</v>
      </c>
      <c r="BI57" s="62">
        <f t="shared" si="19"/>
        <v>113.61000000000001</v>
      </c>
      <c r="BJ57" s="63">
        <v>13</v>
      </c>
      <c r="BK57" s="63">
        <v>10</v>
      </c>
      <c r="BL57" s="64">
        <v>14</v>
      </c>
      <c r="BM57" s="52">
        <v>5000</v>
      </c>
      <c r="BN57" s="62">
        <f t="shared" si="20"/>
        <v>1666.125</v>
      </c>
      <c r="BO57" s="52">
        <v>5500</v>
      </c>
      <c r="BP57" s="62">
        <f t="shared" si="21"/>
        <v>1744.1399999999999</v>
      </c>
      <c r="BQ57" s="52">
        <v>50000</v>
      </c>
      <c r="BR57" s="62">
        <f t="shared" si="22"/>
        <v>7274.5500000000002</v>
      </c>
      <c r="BS57" s="52">
        <v>100000</v>
      </c>
      <c r="BT57" s="62">
        <f t="shared" si="23"/>
        <v>12855.450000000003</v>
      </c>
      <c r="BU57" s="62">
        <v>133.5</v>
      </c>
      <c r="BV57" s="62">
        <v>50.039999999999999</v>
      </c>
      <c r="BY57" s="62">
        <v>133.5</v>
      </c>
      <c r="BZ57" s="62">
        <v>50.039999999999999</v>
      </c>
      <c r="CC57" s="62">
        <v>325</v>
      </c>
      <c r="CD57" s="62">
        <v>29</v>
      </c>
      <c r="CG57" s="62">
        <v>325</v>
      </c>
      <c r="CH57" s="62">
        <v>29</v>
      </c>
      <c r="CK57" s="62">
        <v>125</v>
      </c>
      <c r="CL57" s="62">
        <v>125</v>
      </c>
      <c r="CM57" s="62">
        <v>125</v>
      </c>
      <c r="CN57" s="62">
        <v>125</v>
      </c>
      <c r="CO57" s="62">
        <v>125</v>
      </c>
      <c r="CP57" s="62">
        <v>125</v>
      </c>
      <c r="CQ57" s="62">
        <v>125</v>
      </c>
      <c r="CR57" s="62">
        <v>125</v>
      </c>
      <c r="CS57" s="130">
        <v>75</v>
      </c>
      <c r="CT57" s="130">
        <v>51.899999999999999</v>
      </c>
      <c r="CU57" s="51" t="s">
        <v>175</v>
      </c>
      <c r="CW57" s="130">
        <v>88.900000000000006</v>
      </c>
      <c r="CX57" s="130">
        <v>46.299999999999997</v>
      </c>
      <c r="CY57" s="51" t="s">
        <v>175</v>
      </c>
      <c r="DA57" s="130">
        <v>318</v>
      </c>
      <c r="DB57" s="130">
        <v>20.98</v>
      </c>
      <c r="DC57" s="51" t="s">
        <v>232</v>
      </c>
      <c r="DE57" s="130">
        <v>318</v>
      </c>
      <c r="DF57" s="130">
        <v>20.149999999999999</v>
      </c>
      <c r="DG57" s="51" t="s">
        <v>232</v>
      </c>
      <c r="DI57" s="62">
        <v>140</v>
      </c>
      <c r="DJ57" s="62">
        <v>140</v>
      </c>
      <c r="DK57" s="62">
        <v>140</v>
      </c>
      <c r="DL57" s="62">
        <v>140</v>
      </c>
      <c r="DM57" s="62">
        <v>140</v>
      </c>
      <c r="DN57" s="62">
        <v>140</v>
      </c>
      <c r="DO57" s="62">
        <v>140</v>
      </c>
      <c r="DP57" s="62">
        <v>140</v>
      </c>
    </row>
    <row r="58" s="51" customFormat="1" ht="15.75" customHeight="1">
      <c r="A58" s="52">
        <v>2000000</v>
      </c>
      <c r="B58" s="53" t="s">
        <v>157</v>
      </c>
      <c r="C58" s="75" t="s">
        <v>158</v>
      </c>
      <c r="D58" s="52">
        <v>2230000</v>
      </c>
      <c r="E58" s="54" t="s">
        <v>243</v>
      </c>
      <c r="F58" s="127" t="s">
        <v>244</v>
      </c>
      <c r="G58" s="55"/>
      <c r="H58" s="55"/>
      <c r="I58" s="53"/>
      <c r="J58" s="53"/>
      <c r="L58" s="53" t="s">
        <v>257</v>
      </c>
      <c r="M58" s="54" t="s">
        <v>243</v>
      </c>
      <c r="N58" s="57"/>
      <c r="O58" s="57"/>
      <c r="T58" s="57"/>
      <c r="U58" s="51" t="s">
        <v>247</v>
      </c>
      <c r="V58" s="51" t="s">
        <v>254</v>
      </c>
      <c r="W58" s="51" t="s">
        <v>182</v>
      </c>
      <c r="X58" s="57" t="s">
        <v>167</v>
      </c>
      <c r="Y58" s="51" t="s">
        <v>177</v>
      </c>
      <c r="Z58" s="51" t="s">
        <v>169</v>
      </c>
      <c r="AD58" s="51" t="s">
        <v>170</v>
      </c>
      <c r="AE58" s="51" t="s">
        <v>171</v>
      </c>
      <c r="AF58" s="51" t="s">
        <v>171</v>
      </c>
      <c r="AG58" s="57" t="s">
        <v>219</v>
      </c>
      <c r="AH58" s="57"/>
      <c r="AI58" s="57"/>
      <c r="AJ58" s="57"/>
      <c r="AK58" s="57"/>
      <c r="AL58" s="57" t="s">
        <v>173</v>
      </c>
      <c r="AN58" s="106" t="s">
        <v>174</v>
      </c>
      <c r="AO58" s="51">
        <v>500</v>
      </c>
      <c r="AP58" s="60">
        <v>100000</v>
      </c>
      <c r="AQ58" s="64">
        <v>11.699999999999999</v>
      </c>
      <c r="AR58" s="51" t="s">
        <v>92</v>
      </c>
      <c r="AS58" s="62">
        <f t="shared" si="12"/>
        <v>346.5</v>
      </c>
      <c r="AT58" s="62">
        <f t="shared" si="13"/>
        <v>193.95749999999998</v>
      </c>
      <c r="AU58" s="63">
        <v>7</v>
      </c>
      <c r="AV58" s="63">
        <v>5</v>
      </c>
      <c r="AW58" s="64">
        <v>24</v>
      </c>
      <c r="AX58" s="62">
        <f t="shared" si="14"/>
        <v>301.62</v>
      </c>
      <c r="AY58" s="62">
        <f t="shared" si="15"/>
        <v>180.75749999999999</v>
      </c>
      <c r="AZ58" s="63">
        <v>7</v>
      </c>
      <c r="BA58" s="63">
        <v>5</v>
      </c>
      <c r="BB58" s="64">
        <v>15</v>
      </c>
      <c r="BC58" s="62">
        <f t="shared" si="16"/>
        <v>1124.97</v>
      </c>
      <c r="BD58" s="62">
        <f t="shared" si="17"/>
        <v>128.51249999999999</v>
      </c>
      <c r="BE58" s="63">
        <v>8</v>
      </c>
      <c r="BF58" s="63">
        <v>6</v>
      </c>
      <c r="BG58" s="64">
        <v>12</v>
      </c>
      <c r="BH58" s="62">
        <f t="shared" si="18"/>
        <v>1548.3299999999999</v>
      </c>
      <c r="BI58" s="62">
        <f t="shared" si="19"/>
        <v>124.91249999999999</v>
      </c>
      <c r="BJ58" s="63">
        <v>12</v>
      </c>
      <c r="BK58" s="63">
        <v>9</v>
      </c>
      <c r="BL58" s="64">
        <v>14</v>
      </c>
      <c r="BM58" s="52">
        <v>5000</v>
      </c>
      <c r="BN58" s="62">
        <f t="shared" si="20"/>
        <v>1316.2874999999999</v>
      </c>
      <c r="BO58" s="52">
        <v>5500</v>
      </c>
      <c r="BP58" s="62">
        <f t="shared" si="21"/>
        <v>1295.7862500000001</v>
      </c>
      <c r="BQ58" s="52">
        <v>50000</v>
      </c>
      <c r="BR58" s="62">
        <f t="shared" si="22"/>
        <v>7550.5949999999993</v>
      </c>
      <c r="BS58" s="52">
        <v>100000</v>
      </c>
      <c r="BT58" s="62">
        <f t="shared" si="23"/>
        <v>14039.58</v>
      </c>
      <c r="BU58" s="62">
        <v>90</v>
      </c>
      <c r="BV58" s="62">
        <v>45.030000000000001</v>
      </c>
      <c r="BY58" s="62">
        <v>90</v>
      </c>
      <c r="BZ58" s="62">
        <v>45.030000000000001</v>
      </c>
      <c r="CC58" s="62">
        <v>305</v>
      </c>
      <c r="CD58" s="62">
        <v>24.050000000000001</v>
      </c>
      <c r="CG58" s="62">
        <v>305</v>
      </c>
      <c r="CH58" s="62">
        <v>24.050000000000001</v>
      </c>
      <c r="CK58" s="62">
        <v>125</v>
      </c>
      <c r="CL58" s="62">
        <v>125</v>
      </c>
      <c r="CM58" s="62">
        <v>125</v>
      </c>
      <c r="CN58" s="62">
        <v>125</v>
      </c>
      <c r="CO58" s="62">
        <v>125</v>
      </c>
      <c r="CP58" s="62">
        <v>125</v>
      </c>
      <c r="CQ58" s="62">
        <v>125</v>
      </c>
      <c r="CR58" s="62">
        <v>125</v>
      </c>
      <c r="CS58" s="130">
        <v>60</v>
      </c>
      <c r="CT58" s="130">
        <v>38.600000000000001</v>
      </c>
      <c r="CU58" s="51" t="s">
        <v>175</v>
      </c>
      <c r="CW58" s="130">
        <v>41.299999999999997</v>
      </c>
      <c r="CX58" s="130">
        <v>33.100000000000001</v>
      </c>
      <c r="CY58" s="51" t="s">
        <v>175</v>
      </c>
      <c r="DA58" s="130">
        <v>182.80000000000001</v>
      </c>
      <c r="DB58" s="130">
        <v>31</v>
      </c>
      <c r="DC58" s="51" t="s">
        <v>175</v>
      </c>
      <c r="DE58" s="130">
        <v>359.19999999999999</v>
      </c>
      <c r="DF58" s="130">
        <v>29.5</v>
      </c>
      <c r="DG58" s="51" t="s">
        <v>175</v>
      </c>
      <c r="DI58" s="62">
        <v>140</v>
      </c>
      <c r="DJ58" s="62">
        <v>140</v>
      </c>
      <c r="DK58" s="62">
        <v>140</v>
      </c>
      <c r="DL58" s="62">
        <v>140</v>
      </c>
      <c r="DM58" s="62">
        <v>140</v>
      </c>
      <c r="DN58" s="62">
        <v>140</v>
      </c>
      <c r="DO58" s="62">
        <v>140</v>
      </c>
      <c r="DP58" s="62">
        <v>140</v>
      </c>
    </row>
    <row r="59" s="51" customFormat="1" ht="15.75" customHeight="1">
      <c r="A59" s="52">
        <v>2000000</v>
      </c>
      <c r="B59" s="53" t="s">
        <v>157</v>
      </c>
      <c r="C59" s="75" t="s">
        <v>158</v>
      </c>
      <c r="D59" s="52">
        <v>2230000</v>
      </c>
      <c r="E59" s="54" t="s">
        <v>243</v>
      </c>
      <c r="F59" s="127" t="s">
        <v>244</v>
      </c>
      <c r="G59" s="55"/>
      <c r="H59" s="55"/>
      <c r="I59" s="53"/>
      <c r="J59" s="53"/>
      <c r="L59" s="53" t="s">
        <v>258</v>
      </c>
      <c r="M59" s="54" t="s">
        <v>243</v>
      </c>
      <c r="N59" s="57"/>
      <c r="O59" s="57"/>
      <c r="T59" s="57"/>
      <c r="U59" s="51" t="s">
        <v>247</v>
      </c>
      <c r="V59" s="51" t="s">
        <v>254</v>
      </c>
      <c r="W59" s="51" t="s">
        <v>182</v>
      </c>
      <c r="X59" s="57" t="s">
        <v>167</v>
      </c>
      <c r="Y59" s="51" t="s">
        <v>177</v>
      </c>
      <c r="Z59" s="51" t="s">
        <v>169</v>
      </c>
      <c r="AD59" s="51" t="s">
        <v>170</v>
      </c>
      <c r="AE59" s="51" t="s">
        <v>171</v>
      </c>
      <c r="AF59" s="51" t="s">
        <v>171</v>
      </c>
      <c r="AG59" s="57" t="s">
        <v>219</v>
      </c>
      <c r="AH59" s="57"/>
      <c r="AI59" s="57"/>
      <c r="AJ59" s="57"/>
      <c r="AK59" s="57"/>
      <c r="AL59" s="57" t="s">
        <v>187</v>
      </c>
      <c r="AN59" s="106" t="s">
        <v>174</v>
      </c>
      <c r="AO59" s="51">
        <v>500</v>
      </c>
      <c r="AP59" s="60">
        <v>100000</v>
      </c>
      <c r="AQ59" s="64">
        <v>11.699999999999999</v>
      </c>
      <c r="AR59" s="51" t="s">
        <v>92</v>
      </c>
      <c r="AS59" s="62">
        <f t="shared" si="12"/>
        <v>538.875</v>
      </c>
      <c r="AT59" s="62">
        <f t="shared" si="13"/>
        <v>270.27000000000004</v>
      </c>
      <c r="AU59" s="63">
        <v>8</v>
      </c>
      <c r="AV59" s="63">
        <v>6</v>
      </c>
      <c r="AW59" s="64">
        <v>24</v>
      </c>
      <c r="AX59" s="62">
        <f t="shared" si="14"/>
        <v>580.39499999999998</v>
      </c>
      <c r="AY59" s="62">
        <f t="shared" si="15"/>
        <v>258.02999999999997</v>
      </c>
      <c r="AZ59" s="63">
        <v>8</v>
      </c>
      <c r="BA59" s="63">
        <v>6</v>
      </c>
      <c r="BB59" s="64">
        <v>15</v>
      </c>
      <c r="BC59" s="62">
        <f t="shared" si="16"/>
        <v>1571.25</v>
      </c>
      <c r="BD59" s="62">
        <f t="shared" si="17"/>
        <v>138.44999999999999</v>
      </c>
      <c r="BE59" s="63">
        <v>9</v>
      </c>
      <c r="BF59" s="63">
        <v>7</v>
      </c>
      <c r="BG59" s="64">
        <v>12</v>
      </c>
      <c r="BH59" s="62">
        <f t="shared" si="18"/>
        <v>1494.45</v>
      </c>
      <c r="BI59" s="62">
        <f t="shared" si="19"/>
        <v>134.75400000000002</v>
      </c>
      <c r="BJ59" s="63">
        <v>13</v>
      </c>
      <c r="BK59" s="63">
        <v>10</v>
      </c>
      <c r="BL59" s="64">
        <v>14</v>
      </c>
      <c r="BM59" s="52">
        <v>5000</v>
      </c>
      <c r="BN59" s="62">
        <f t="shared" si="20"/>
        <v>1890.2250000000001</v>
      </c>
      <c r="BO59" s="52">
        <v>5500</v>
      </c>
      <c r="BP59" s="62">
        <f t="shared" si="21"/>
        <v>1999.5599999999997</v>
      </c>
      <c r="BQ59" s="52">
        <v>50000</v>
      </c>
      <c r="BR59" s="62">
        <f t="shared" si="22"/>
        <v>8493.75</v>
      </c>
      <c r="BS59" s="52">
        <v>100000</v>
      </c>
      <c r="BT59" s="62">
        <f t="shared" si="23"/>
        <v>14969.850000000002</v>
      </c>
      <c r="BU59" s="62">
        <v>143.5</v>
      </c>
      <c r="BV59" s="62">
        <v>50.039999999999999</v>
      </c>
      <c r="BY59" s="62">
        <v>143.5</v>
      </c>
      <c r="BZ59" s="62">
        <v>50.039999999999999</v>
      </c>
      <c r="CC59" s="62">
        <v>325</v>
      </c>
      <c r="CD59" s="62">
        <v>29</v>
      </c>
      <c r="CG59" s="62">
        <v>325</v>
      </c>
      <c r="CH59" s="62">
        <v>29</v>
      </c>
      <c r="CK59" s="62">
        <v>125</v>
      </c>
      <c r="CL59" s="62">
        <v>125</v>
      </c>
      <c r="CM59" s="62">
        <v>125</v>
      </c>
      <c r="CN59" s="62">
        <v>125</v>
      </c>
      <c r="CO59" s="62">
        <v>125</v>
      </c>
      <c r="CP59" s="62">
        <v>125</v>
      </c>
      <c r="CQ59" s="62">
        <v>125</v>
      </c>
      <c r="CR59" s="62">
        <v>125</v>
      </c>
      <c r="CS59" s="130">
        <v>90</v>
      </c>
      <c r="CT59" s="130">
        <v>65.700000000000003</v>
      </c>
      <c r="CU59" s="51" t="s">
        <v>175</v>
      </c>
      <c r="CW59" s="130">
        <v>107.3</v>
      </c>
      <c r="CX59" s="130">
        <v>60.600000000000001</v>
      </c>
      <c r="CY59" s="51" t="s">
        <v>175</v>
      </c>
      <c r="DA59" s="130">
        <v>350</v>
      </c>
      <c r="DB59" s="130">
        <v>30.5</v>
      </c>
      <c r="DC59" s="51" t="s">
        <v>232</v>
      </c>
      <c r="DE59" s="130">
        <v>318</v>
      </c>
      <c r="DF59" s="130">
        <v>28.960000000000001</v>
      </c>
      <c r="DG59" s="51" t="s">
        <v>232</v>
      </c>
      <c r="DI59" s="62">
        <v>140</v>
      </c>
      <c r="DJ59" s="62">
        <v>140</v>
      </c>
      <c r="DK59" s="62">
        <v>140</v>
      </c>
      <c r="DL59" s="62">
        <v>140</v>
      </c>
      <c r="DM59" s="62">
        <v>140</v>
      </c>
      <c r="DN59" s="62">
        <v>140</v>
      </c>
      <c r="DO59" s="62">
        <v>140</v>
      </c>
      <c r="DP59" s="62">
        <v>140</v>
      </c>
    </row>
    <row r="60" s="51" customFormat="1" ht="15.75" customHeight="1">
      <c r="A60" s="52">
        <v>2000000</v>
      </c>
      <c r="B60" s="53" t="s">
        <v>157</v>
      </c>
      <c r="C60" s="75" t="s">
        <v>158</v>
      </c>
      <c r="D60" s="52">
        <v>2230000</v>
      </c>
      <c r="E60" s="54" t="s">
        <v>243</v>
      </c>
      <c r="F60" s="127" t="s">
        <v>244</v>
      </c>
      <c r="G60" s="55"/>
      <c r="H60" s="55"/>
      <c r="I60" s="53"/>
      <c r="J60" s="53"/>
      <c r="L60" s="53" t="s">
        <v>259</v>
      </c>
      <c r="M60" s="54" t="s">
        <v>243</v>
      </c>
      <c r="N60" s="131" t="s">
        <v>260</v>
      </c>
      <c r="O60" s="131"/>
      <c r="T60" s="57"/>
      <c r="U60" s="51" t="s">
        <v>247</v>
      </c>
      <c r="V60" s="51" t="s">
        <v>261</v>
      </c>
      <c r="W60" s="51" t="s">
        <v>193</v>
      </c>
      <c r="X60" s="57" t="s">
        <v>167</v>
      </c>
      <c r="Y60" s="51" t="s">
        <v>183</v>
      </c>
      <c r="Z60" s="51" t="s">
        <v>169</v>
      </c>
      <c r="AD60" s="51" t="s">
        <v>170</v>
      </c>
      <c r="AE60" s="51" t="s">
        <v>171</v>
      </c>
      <c r="AF60" s="51" t="s">
        <v>171</v>
      </c>
      <c r="AG60" s="57" t="s">
        <v>219</v>
      </c>
      <c r="AH60" s="57"/>
      <c r="AI60" s="57"/>
      <c r="AJ60" s="57"/>
      <c r="AK60" s="57"/>
      <c r="AL60" s="57" t="s">
        <v>173</v>
      </c>
      <c r="AN60" s="106" t="s">
        <v>174</v>
      </c>
      <c r="AO60" s="51">
        <v>500</v>
      </c>
      <c r="AP60" s="60">
        <v>100000</v>
      </c>
      <c r="AQ60" s="64">
        <v>8.4000000000000004</v>
      </c>
      <c r="AR60" s="51" t="s">
        <v>92</v>
      </c>
      <c r="AS60" s="62">
        <f t="shared" si="12"/>
        <v>310.5</v>
      </c>
      <c r="AT60" s="62">
        <f t="shared" si="13"/>
        <v>174.75749999999999</v>
      </c>
      <c r="AU60" s="63">
        <v>7</v>
      </c>
      <c r="AV60" s="63">
        <v>5</v>
      </c>
      <c r="AW60" s="64">
        <v>24</v>
      </c>
      <c r="AX60" s="62">
        <f t="shared" si="14"/>
        <v>285.06</v>
      </c>
      <c r="AY60" s="62">
        <f t="shared" si="15"/>
        <v>161.07749999999999</v>
      </c>
      <c r="AZ60" s="63">
        <v>7</v>
      </c>
      <c r="BA60" s="63">
        <v>5</v>
      </c>
      <c r="BB60" s="64">
        <v>15</v>
      </c>
      <c r="BC60" s="62">
        <f t="shared" si="16"/>
        <v>909.93000000000006</v>
      </c>
      <c r="BD60" s="62">
        <f t="shared" si="17"/>
        <v>110.7525</v>
      </c>
      <c r="BE60" s="63">
        <v>8</v>
      </c>
      <c r="BF60" s="63">
        <v>6</v>
      </c>
      <c r="BG60" s="64">
        <v>12</v>
      </c>
      <c r="BH60" s="62">
        <f t="shared" si="18"/>
        <v>1166.73</v>
      </c>
      <c r="BI60" s="62">
        <f t="shared" si="19"/>
        <v>109.3125</v>
      </c>
      <c r="BJ60" s="63">
        <v>12</v>
      </c>
      <c r="BK60" s="63">
        <v>9</v>
      </c>
      <c r="BL60" s="64">
        <v>14</v>
      </c>
      <c r="BM60" s="52">
        <v>5000</v>
      </c>
      <c r="BN60" s="62">
        <f t="shared" si="20"/>
        <v>1184.2874999999999</v>
      </c>
      <c r="BO60" s="52">
        <v>5500</v>
      </c>
      <c r="BP60" s="62">
        <f t="shared" si="21"/>
        <v>1170.9862499999999</v>
      </c>
      <c r="BQ60" s="52">
        <v>50000</v>
      </c>
      <c r="BR60" s="62">
        <f t="shared" si="22"/>
        <v>6447.5550000000003</v>
      </c>
      <c r="BS60" s="52">
        <v>100000</v>
      </c>
      <c r="BT60" s="62">
        <f t="shared" si="23"/>
        <v>12097.98</v>
      </c>
      <c r="BU60" s="62">
        <v>90</v>
      </c>
      <c r="BV60" s="62">
        <v>45.030000000000001</v>
      </c>
      <c r="BY60" s="62">
        <v>90</v>
      </c>
      <c r="BZ60" s="62">
        <v>45.030000000000001</v>
      </c>
      <c r="CC60" s="62">
        <v>305</v>
      </c>
      <c r="CD60" s="62">
        <v>24.050000000000001</v>
      </c>
      <c r="CG60" s="62">
        <v>305</v>
      </c>
      <c r="CH60" s="62">
        <v>24.050000000000001</v>
      </c>
      <c r="CK60" s="62">
        <v>125</v>
      </c>
      <c r="CL60" s="62">
        <v>125</v>
      </c>
      <c r="CM60" s="62">
        <v>125</v>
      </c>
      <c r="CN60" s="62">
        <v>125</v>
      </c>
      <c r="CO60" s="62">
        <v>125</v>
      </c>
      <c r="CP60" s="62">
        <v>125</v>
      </c>
      <c r="CQ60" s="62">
        <v>125</v>
      </c>
      <c r="CR60" s="62">
        <v>125</v>
      </c>
      <c r="CS60" s="130">
        <v>45</v>
      </c>
      <c r="CT60" s="130">
        <v>30.600000000000001</v>
      </c>
      <c r="CU60" s="51" t="s">
        <v>175</v>
      </c>
      <c r="CW60" s="130">
        <v>34.399999999999999</v>
      </c>
      <c r="CX60" s="130">
        <v>24.899999999999999</v>
      </c>
      <c r="CY60" s="51" t="s">
        <v>175</v>
      </c>
      <c r="DA60" s="130">
        <v>93.200000000000003</v>
      </c>
      <c r="DB60" s="130">
        <v>23.600000000000001</v>
      </c>
      <c r="DC60" s="51" t="s">
        <v>175</v>
      </c>
      <c r="DE60" s="130">
        <v>200.19999999999999</v>
      </c>
      <c r="DF60" s="130">
        <v>23</v>
      </c>
      <c r="DG60" s="51" t="s">
        <v>175</v>
      </c>
      <c r="DI60" s="62">
        <v>140</v>
      </c>
      <c r="DJ60" s="62">
        <v>140</v>
      </c>
      <c r="DK60" s="62">
        <v>140</v>
      </c>
      <c r="DL60" s="62">
        <v>140</v>
      </c>
      <c r="DM60" s="62">
        <v>140</v>
      </c>
      <c r="DN60" s="62">
        <v>140</v>
      </c>
      <c r="DO60" s="62">
        <v>140</v>
      </c>
      <c r="DP60" s="62">
        <v>140</v>
      </c>
    </row>
    <row r="61" s="51" customFormat="1" ht="15.75" customHeight="1">
      <c r="A61" s="52">
        <v>2000000</v>
      </c>
      <c r="B61" s="53" t="s">
        <v>157</v>
      </c>
      <c r="C61" s="75" t="s">
        <v>158</v>
      </c>
      <c r="D61" s="52">
        <v>2230000</v>
      </c>
      <c r="E61" s="54" t="s">
        <v>243</v>
      </c>
      <c r="F61" s="127" t="s">
        <v>244</v>
      </c>
      <c r="G61" s="55"/>
      <c r="H61" s="55"/>
      <c r="I61" s="53"/>
      <c r="J61" s="53"/>
      <c r="L61" s="53" t="s">
        <v>262</v>
      </c>
      <c r="M61" s="54" t="s">
        <v>243</v>
      </c>
      <c r="N61" s="57"/>
      <c r="O61" s="57"/>
      <c r="T61" s="57"/>
      <c r="U61" s="51" t="s">
        <v>247</v>
      </c>
      <c r="V61" s="51" t="s">
        <v>261</v>
      </c>
      <c r="W61" s="51" t="s">
        <v>193</v>
      </c>
      <c r="X61" s="57" t="s">
        <v>167</v>
      </c>
      <c r="Y61" s="51" t="s">
        <v>168</v>
      </c>
      <c r="Z61" s="51" t="s">
        <v>169</v>
      </c>
      <c r="AD61" s="51" t="s">
        <v>170</v>
      </c>
      <c r="AE61" s="51" t="s">
        <v>171</v>
      </c>
      <c r="AF61" s="51" t="s">
        <v>171</v>
      </c>
      <c r="AG61" s="57" t="s">
        <v>219</v>
      </c>
      <c r="AH61" s="57"/>
      <c r="AI61" s="57"/>
      <c r="AJ61" s="57"/>
      <c r="AK61" s="57"/>
      <c r="AL61" s="57" t="s">
        <v>173</v>
      </c>
      <c r="AN61" s="106" t="s">
        <v>174</v>
      </c>
      <c r="AO61" s="51">
        <v>500</v>
      </c>
      <c r="AP61" s="60">
        <v>100000</v>
      </c>
      <c r="AQ61" s="64">
        <v>10.5</v>
      </c>
      <c r="AR61" s="51" t="s">
        <v>92</v>
      </c>
      <c r="AS61" s="62">
        <f t="shared" si="12"/>
        <v>322.5</v>
      </c>
      <c r="AT61" s="62">
        <f t="shared" si="13"/>
        <v>186.03750000000002</v>
      </c>
      <c r="AU61" s="63">
        <v>7</v>
      </c>
      <c r="AV61" s="63">
        <v>5</v>
      </c>
      <c r="AW61" s="64">
        <v>24</v>
      </c>
      <c r="AX61" s="62">
        <f t="shared" si="14"/>
        <v>338.34000000000003</v>
      </c>
      <c r="AY61" s="62">
        <f t="shared" si="15"/>
        <v>175.7175</v>
      </c>
      <c r="AZ61" s="63">
        <v>7</v>
      </c>
      <c r="BA61" s="63">
        <v>5</v>
      </c>
      <c r="BB61" s="64">
        <v>15</v>
      </c>
      <c r="BC61" s="62">
        <f t="shared" si="16"/>
        <v>977.36999999999989</v>
      </c>
      <c r="BD61" s="62">
        <f t="shared" si="17"/>
        <v>123.71250000000001</v>
      </c>
      <c r="BE61" s="63">
        <v>8</v>
      </c>
      <c r="BF61" s="63">
        <v>6</v>
      </c>
      <c r="BG61" s="64">
        <v>12</v>
      </c>
      <c r="BH61" s="62">
        <f t="shared" si="18"/>
        <v>1073.6099999999999</v>
      </c>
      <c r="BI61" s="62">
        <f t="shared" si="19"/>
        <v>122.51249999999999</v>
      </c>
      <c r="BJ61" s="63">
        <v>12</v>
      </c>
      <c r="BK61" s="63">
        <v>9</v>
      </c>
      <c r="BL61" s="64">
        <v>14</v>
      </c>
      <c r="BM61" s="52">
        <v>5000</v>
      </c>
      <c r="BN61" s="62">
        <f t="shared" si="20"/>
        <v>1252.6875</v>
      </c>
      <c r="BO61" s="52">
        <v>5500</v>
      </c>
      <c r="BP61" s="62">
        <f t="shared" si="21"/>
        <v>1304.7862500000001</v>
      </c>
      <c r="BQ61" s="52">
        <v>50000</v>
      </c>
      <c r="BR61" s="62">
        <f t="shared" si="22"/>
        <v>7162.9949999999999</v>
      </c>
      <c r="BS61" s="52">
        <v>100000</v>
      </c>
      <c r="BT61" s="62">
        <f t="shared" si="23"/>
        <v>13324.859999999999</v>
      </c>
      <c r="BU61" s="62">
        <v>90</v>
      </c>
      <c r="BV61" s="62">
        <v>45.030000000000001</v>
      </c>
      <c r="BY61" s="62">
        <v>90</v>
      </c>
      <c r="BZ61" s="62">
        <v>45.030000000000001</v>
      </c>
      <c r="CC61" s="62">
        <v>305</v>
      </c>
      <c r="CD61" s="62">
        <v>24.050000000000001</v>
      </c>
      <c r="CG61" s="62">
        <v>305</v>
      </c>
      <c r="CH61" s="62">
        <v>24.050000000000001</v>
      </c>
      <c r="CK61" s="62">
        <v>125</v>
      </c>
      <c r="CL61" s="62">
        <v>125</v>
      </c>
      <c r="CM61" s="62">
        <v>125</v>
      </c>
      <c r="CN61" s="62">
        <v>125</v>
      </c>
      <c r="CO61" s="62">
        <v>125</v>
      </c>
      <c r="CP61" s="62">
        <v>125</v>
      </c>
      <c r="CQ61" s="62">
        <v>125</v>
      </c>
      <c r="CR61" s="62">
        <v>125</v>
      </c>
      <c r="CS61" s="130">
        <v>50</v>
      </c>
      <c r="CT61" s="130">
        <v>35.299999999999997</v>
      </c>
      <c r="CU61" s="51" t="s">
        <v>175</v>
      </c>
      <c r="CW61" s="130">
        <v>56.600000000000001</v>
      </c>
      <c r="CX61" s="130">
        <v>31</v>
      </c>
      <c r="CY61" s="51" t="s">
        <v>175</v>
      </c>
      <c r="DA61" s="130">
        <v>121.3</v>
      </c>
      <c r="DB61" s="130">
        <v>29</v>
      </c>
      <c r="DC61" s="51" t="s">
        <v>175</v>
      </c>
      <c r="DE61" s="130">
        <v>161.40000000000001</v>
      </c>
      <c r="DF61" s="130">
        <v>28.5</v>
      </c>
      <c r="DG61" s="51" t="s">
        <v>175</v>
      </c>
      <c r="DI61" s="62">
        <v>140</v>
      </c>
      <c r="DJ61" s="62">
        <v>140</v>
      </c>
      <c r="DK61" s="62">
        <v>140</v>
      </c>
      <c r="DL61" s="62">
        <v>140</v>
      </c>
      <c r="DM61" s="62">
        <v>140</v>
      </c>
      <c r="DN61" s="62">
        <v>140</v>
      </c>
      <c r="DO61" s="62">
        <v>140</v>
      </c>
      <c r="DP61" s="62">
        <v>140</v>
      </c>
    </row>
    <row r="62" s="145" customFormat="1" ht="68.25" customHeight="1">
      <c r="A62" s="71">
        <v>2000000</v>
      </c>
      <c r="B62" s="72" t="s">
        <v>157</v>
      </c>
      <c r="C62" s="75" t="s">
        <v>158</v>
      </c>
      <c r="D62" s="71">
        <v>2240000</v>
      </c>
      <c r="E62" s="73" t="s">
        <v>263</v>
      </c>
      <c r="F62" s="108" t="s">
        <v>264</v>
      </c>
      <c r="G62" s="146"/>
      <c r="H62" s="146"/>
      <c r="I62" s="147"/>
      <c r="J62" s="72"/>
      <c r="K62" s="76"/>
      <c r="L62" s="72" t="s">
        <v>265</v>
      </c>
      <c r="M62" s="73" t="s">
        <v>263</v>
      </c>
      <c r="N62" s="109" t="s">
        <v>266</v>
      </c>
      <c r="O62" s="109"/>
      <c r="P62" s="76"/>
      <c r="Q62" s="76"/>
      <c r="R62" s="76"/>
      <c r="S62" s="76"/>
      <c r="T62" s="77"/>
      <c r="U62" s="76" t="s">
        <v>267</v>
      </c>
      <c r="V62" s="76" t="s">
        <v>268</v>
      </c>
      <c r="W62" s="76" t="s">
        <v>166</v>
      </c>
      <c r="X62" s="77" t="s">
        <v>167</v>
      </c>
      <c r="Y62" s="76" t="s">
        <v>168</v>
      </c>
      <c r="Z62" s="76" t="s">
        <v>169</v>
      </c>
      <c r="AA62" s="76"/>
      <c r="AB62" s="76"/>
      <c r="AC62" s="76"/>
      <c r="AD62" s="76" t="s">
        <v>170</v>
      </c>
      <c r="AE62" s="148" t="s">
        <v>171</v>
      </c>
      <c r="AF62" s="148" t="s">
        <v>171</v>
      </c>
      <c r="AG62" s="77" t="s">
        <v>214</v>
      </c>
      <c r="AH62" s="77"/>
      <c r="AI62" s="77"/>
      <c r="AJ62" s="77"/>
      <c r="AK62" s="77"/>
      <c r="AL62" s="149"/>
      <c r="AM62" s="149"/>
      <c r="AN62" s="99" t="s">
        <v>174</v>
      </c>
      <c r="AO62" s="148">
        <v>500</v>
      </c>
      <c r="AP62" s="82">
        <v>100000</v>
      </c>
      <c r="AQ62" s="150">
        <v>10.699999999999999</v>
      </c>
      <c r="AR62" s="151" t="s">
        <v>147</v>
      </c>
      <c r="AS62" s="84">
        <f t="shared" si="12"/>
        <v>310.5</v>
      </c>
      <c r="AT62" s="84">
        <f t="shared" si="13"/>
        <v>176.4375</v>
      </c>
      <c r="AU62" s="85">
        <v>7</v>
      </c>
      <c r="AV62" s="85">
        <v>5</v>
      </c>
      <c r="AW62" s="86">
        <v>24</v>
      </c>
      <c r="AX62" s="84">
        <f t="shared" si="14"/>
        <v>303.06</v>
      </c>
      <c r="AY62" s="84">
        <f t="shared" si="15"/>
        <v>168.51749999999998</v>
      </c>
      <c r="AZ62" s="85">
        <v>7</v>
      </c>
      <c r="BA62" s="85">
        <v>5</v>
      </c>
      <c r="BB62" s="86">
        <v>15</v>
      </c>
      <c r="BC62" s="84">
        <f t="shared" si="16"/>
        <v>934.16999999999996</v>
      </c>
      <c r="BD62" s="84">
        <f t="shared" si="17"/>
        <v>114.1125</v>
      </c>
      <c r="BE62" s="85">
        <v>8</v>
      </c>
      <c r="BF62" s="85">
        <v>6</v>
      </c>
      <c r="BG62" s="86">
        <v>12</v>
      </c>
      <c r="BH62" s="84">
        <f t="shared" si="18"/>
        <v>1064.49</v>
      </c>
      <c r="BI62" s="84">
        <f t="shared" si="19"/>
        <v>114.5925</v>
      </c>
      <c r="BJ62" s="85">
        <v>12</v>
      </c>
      <c r="BK62" s="85">
        <v>9</v>
      </c>
      <c r="BL62" s="86">
        <v>14</v>
      </c>
      <c r="BM62" s="71">
        <v>5000</v>
      </c>
      <c r="BN62" s="84">
        <f t="shared" si="20"/>
        <v>1192.6875</v>
      </c>
      <c r="BO62" s="71">
        <v>10000</v>
      </c>
      <c r="BP62" s="84">
        <f t="shared" si="21"/>
        <v>1988.2349999999997</v>
      </c>
      <c r="BQ62" s="71">
        <v>10100</v>
      </c>
      <c r="BR62" s="84">
        <f t="shared" si="22"/>
        <v>2086.7062500000002</v>
      </c>
      <c r="BS62" s="71">
        <v>51000</v>
      </c>
      <c r="BT62" s="84">
        <f t="shared" si="23"/>
        <v>6908.7074999999995</v>
      </c>
      <c r="BU62" s="84">
        <v>90</v>
      </c>
      <c r="BV62" s="84">
        <v>45.030000000000001</v>
      </c>
      <c r="BW62" s="76"/>
      <c r="BX62" s="76"/>
      <c r="BY62" s="84">
        <v>90</v>
      </c>
      <c r="BZ62" s="84">
        <v>45.030000000000001</v>
      </c>
      <c r="CA62" s="76"/>
      <c r="CB62" s="76"/>
      <c r="CC62" s="84">
        <v>305</v>
      </c>
      <c r="CD62" s="84">
        <v>24.050000000000001</v>
      </c>
      <c r="CE62" s="76"/>
      <c r="CF62" s="76"/>
      <c r="CG62" s="84">
        <v>305</v>
      </c>
      <c r="CH62" s="84">
        <v>24.050000000000001</v>
      </c>
      <c r="CI62" s="76"/>
      <c r="CJ62" s="76"/>
      <c r="CK62" s="84">
        <v>125</v>
      </c>
      <c r="CL62" s="84">
        <v>125</v>
      </c>
      <c r="CM62" s="84">
        <v>125</v>
      </c>
      <c r="CN62" s="84">
        <v>125</v>
      </c>
      <c r="CO62" s="84">
        <v>125</v>
      </c>
      <c r="CP62" s="84">
        <v>125</v>
      </c>
      <c r="CQ62" s="84">
        <v>125</v>
      </c>
      <c r="CR62" s="84">
        <v>125</v>
      </c>
      <c r="CS62" s="112">
        <v>45</v>
      </c>
      <c r="CT62" s="112">
        <v>31.300000000000001</v>
      </c>
      <c r="CU62" s="76" t="s">
        <v>175</v>
      </c>
      <c r="CV62" s="76"/>
      <c r="CW62" s="112">
        <v>41.899999999999999</v>
      </c>
      <c r="CX62" s="112">
        <v>28</v>
      </c>
      <c r="CY62" s="76" t="s">
        <v>175</v>
      </c>
      <c r="CZ62" s="76"/>
      <c r="DA62" s="112">
        <v>103.3</v>
      </c>
      <c r="DB62" s="112">
        <v>25</v>
      </c>
      <c r="DC62" s="76" t="s">
        <v>175</v>
      </c>
      <c r="DD62" s="76"/>
      <c r="DE62" s="112">
        <v>157.59999999999999</v>
      </c>
      <c r="DF62" s="112">
        <v>25.199999999999999</v>
      </c>
      <c r="DG62" s="76" t="s">
        <v>175</v>
      </c>
      <c r="DH62" s="76"/>
      <c r="DI62" s="84">
        <v>140</v>
      </c>
      <c r="DJ62" s="84">
        <v>140</v>
      </c>
      <c r="DK62" s="84">
        <v>140</v>
      </c>
      <c r="DL62" s="84">
        <v>140</v>
      </c>
      <c r="DM62" s="84">
        <v>140</v>
      </c>
      <c r="DN62" s="84">
        <v>140</v>
      </c>
      <c r="DO62" s="84">
        <v>140</v>
      </c>
      <c r="DP62" s="84">
        <v>140</v>
      </c>
    </row>
    <row r="63" s="76" customFormat="1" ht="15.75" customHeight="1">
      <c r="A63" s="71">
        <v>2000000</v>
      </c>
      <c r="B63" s="72" t="s">
        <v>157</v>
      </c>
      <c r="C63" s="75" t="s">
        <v>158</v>
      </c>
      <c r="D63" s="71">
        <v>2240000</v>
      </c>
      <c r="E63" s="73" t="s">
        <v>263</v>
      </c>
      <c r="F63" s="108" t="s">
        <v>264</v>
      </c>
      <c r="G63" s="74"/>
      <c r="H63" s="74"/>
      <c r="I63" s="72"/>
      <c r="J63" s="72"/>
      <c r="L63" s="72" t="s">
        <v>269</v>
      </c>
      <c r="M63" s="73" t="s">
        <v>263</v>
      </c>
      <c r="N63" s="77"/>
      <c r="O63" s="77"/>
      <c r="T63" s="77"/>
      <c r="U63" s="76" t="s">
        <v>267</v>
      </c>
      <c r="V63" s="76" t="s">
        <v>268</v>
      </c>
      <c r="W63" s="76" t="s">
        <v>166</v>
      </c>
      <c r="X63" s="77" t="s">
        <v>167</v>
      </c>
      <c r="Y63" s="76" t="s">
        <v>177</v>
      </c>
      <c r="Z63" s="76" t="s">
        <v>169</v>
      </c>
      <c r="AD63" s="76" t="s">
        <v>170</v>
      </c>
      <c r="AE63" s="148" t="s">
        <v>171</v>
      </c>
      <c r="AF63" s="148" t="s">
        <v>171</v>
      </c>
      <c r="AG63" s="77" t="s">
        <v>214</v>
      </c>
      <c r="AH63" s="77"/>
      <c r="AI63" s="77"/>
      <c r="AJ63" s="77"/>
      <c r="AK63" s="77"/>
      <c r="AL63" s="76" t="s">
        <v>270</v>
      </c>
      <c r="AN63" s="99" t="s">
        <v>174</v>
      </c>
      <c r="AO63" s="148">
        <v>500</v>
      </c>
      <c r="AP63" s="82">
        <v>100000</v>
      </c>
      <c r="AQ63" s="86">
        <v>15.699999999999999</v>
      </c>
      <c r="AR63" s="151" t="s">
        <v>147</v>
      </c>
      <c r="AS63" s="84">
        <f t="shared" si="12"/>
        <v>310.5</v>
      </c>
      <c r="AT63" s="84">
        <f t="shared" si="13"/>
        <v>201.8775</v>
      </c>
      <c r="AU63" s="85">
        <v>7</v>
      </c>
      <c r="AV63" s="85">
        <v>5</v>
      </c>
      <c r="AW63" s="86">
        <v>24</v>
      </c>
      <c r="AX63" s="84">
        <f t="shared" si="14"/>
        <v>310.5</v>
      </c>
      <c r="AY63" s="84">
        <f t="shared" si="15"/>
        <v>187.95749999999998</v>
      </c>
      <c r="AZ63" s="85">
        <v>7</v>
      </c>
      <c r="BA63" s="85">
        <v>5</v>
      </c>
      <c r="BB63" s="86">
        <v>15</v>
      </c>
      <c r="BC63" s="84">
        <f t="shared" si="16"/>
        <v>989.13000000000011</v>
      </c>
      <c r="BD63" s="84">
        <f t="shared" si="17"/>
        <v>136.91249999999999</v>
      </c>
      <c r="BE63" s="85">
        <v>8</v>
      </c>
      <c r="BF63" s="85">
        <v>6</v>
      </c>
      <c r="BG63" s="86">
        <v>12</v>
      </c>
      <c r="BH63" s="84">
        <f t="shared" si="18"/>
        <v>1401.6900000000001</v>
      </c>
      <c r="BI63" s="84">
        <f t="shared" si="19"/>
        <v>134.99250000000001</v>
      </c>
      <c r="BJ63" s="85">
        <v>12</v>
      </c>
      <c r="BK63" s="85">
        <v>9</v>
      </c>
      <c r="BL63" s="86">
        <v>14</v>
      </c>
      <c r="BM63" s="71">
        <v>5000</v>
      </c>
      <c r="BN63" s="84">
        <f t="shared" si="20"/>
        <v>1319.8875</v>
      </c>
      <c r="BO63" s="71">
        <v>5100</v>
      </c>
      <c r="BP63" s="84">
        <f t="shared" si="21"/>
        <v>1269.0832499999999</v>
      </c>
      <c r="BQ63" s="71">
        <v>50000</v>
      </c>
      <c r="BR63" s="84">
        <f t="shared" si="22"/>
        <v>7834.7550000000001</v>
      </c>
      <c r="BS63" s="71">
        <v>51000</v>
      </c>
      <c r="BT63" s="84">
        <f t="shared" si="23"/>
        <v>8286.3075000000008</v>
      </c>
      <c r="BU63" s="84">
        <v>90</v>
      </c>
      <c r="BV63" s="84">
        <v>45.030000000000001</v>
      </c>
      <c r="BY63" s="84">
        <v>90</v>
      </c>
      <c r="BZ63" s="84">
        <v>45.030000000000001</v>
      </c>
      <c r="CC63" s="84">
        <v>305</v>
      </c>
      <c r="CD63" s="84">
        <v>24.050000000000001</v>
      </c>
      <c r="CG63" s="84">
        <v>305</v>
      </c>
      <c r="CH63" s="84">
        <v>24.050000000000001</v>
      </c>
      <c r="CK63" s="84">
        <v>125</v>
      </c>
      <c r="CL63" s="84">
        <v>125</v>
      </c>
      <c r="CM63" s="84">
        <v>125</v>
      </c>
      <c r="CN63" s="84">
        <v>125</v>
      </c>
      <c r="CO63" s="84">
        <v>125</v>
      </c>
      <c r="CP63" s="84">
        <v>125</v>
      </c>
      <c r="CQ63" s="84">
        <v>125</v>
      </c>
      <c r="CR63" s="84">
        <v>125</v>
      </c>
      <c r="CS63" s="112">
        <v>45</v>
      </c>
      <c r="CT63" s="112">
        <v>41.899999999999999</v>
      </c>
      <c r="CU63" s="76" t="s">
        <v>175</v>
      </c>
      <c r="CW63" s="112">
        <v>45</v>
      </c>
      <c r="CX63" s="112">
        <v>36.100000000000001</v>
      </c>
      <c r="CY63" s="76" t="s">
        <v>175</v>
      </c>
      <c r="DA63" s="112">
        <v>126.2</v>
      </c>
      <c r="DB63" s="112">
        <v>34.5</v>
      </c>
      <c r="DC63" s="76" t="s">
        <v>175</v>
      </c>
      <c r="DE63" s="112">
        <v>298.10000000000002</v>
      </c>
      <c r="DF63" s="112">
        <v>33.700000000000003</v>
      </c>
      <c r="DG63" s="76" t="s">
        <v>175</v>
      </c>
      <c r="DI63" s="84">
        <v>140</v>
      </c>
      <c r="DJ63" s="84">
        <v>140</v>
      </c>
      <c r="DK63" s="84">
        <v>140</v>
      </c>
      <c r="DL63" s="84">
        <v>140</v>
      </c>
      <c r="DM63" s="84">
        <v>140</v>
      </c>
      <c r="DN63" s="84">
        <v>140</v>
      </c>
      <c r="DO63" s="84">
        <v>140</v>
      </c>
      <c r="DP63" s="84">
        <v>140</v>
      </c>
    </row>
    <row r="64" s="76" customFormat="1" ht="15.75" customHeight="1">
      <c r="A64" s="71">
        <v>2000000</v>
      </c>
      <c r="B64" s="72" t="s">
        <v>157</v>
      </c>
      <c r="C64" s="75" t="s">
        <v>158</v>
      </c>
      <c r="D64" s="71">
        <v>2240000</v>
      </c>
      <c r="E64" s="73" t="s">
        <v>263</v>
      </c>
      <c r="F64" s="108" t="s">
        <v>264</v>
      </c>
      <c r="G64" s="74"/>
      <c r="H64" s="74"/>
      <c r="I64" s="72"/>
      <c r="J64" s="72"/>
      <c r="L64" s="72" t="s">
        <v>271</v>
      </c>
      <c r="M64" s="73" t="s">
        <v>263</v>
      </c>
      <c r="N64" s="109" t="s">
        <v>272</v>
      </c>
      <c r="O64" s="109"/>
      <c r="T64" s="77"/>
      <c r="U64" s="76" t="s">
        <v>267</v>
      </c>
      <c r="V64" s="76" t="s">
        <v>273</v>
      </c>
      <c r="W64" s="76" t="s">
        <v>182</v>
      </c>
      <c r="X64" s="77" t="s">
        <v>167</v>
      </c>
      <c r="Y64" s="76" t="s">
        <v>183</v>
      </c>
      <c r="Z64" s="76" t="s">
        <v>169</v>
      </c>
      <c r="AD64" s="76" t="s">
        <v>170</v>
      </c>
      <c r="AE64" s="148" t="s">
        <v>171</v>
      </c>
      <c r="AF64" s="148" t="s">
        <v>171</v>
      </c>
      <c r="AG64" s="77" t="s">
        <v>219</v>
      </c>
      <c r="AH64" s="77"/>
      <c r="AI64" s="77"/>
      <c r="AJ64" s="77"/>
      <c r="AK64" s="77"/>
      <c r="AL64" s="76" t="s">
        <v>270</v>
      </c>
      <c r="AN64" s="99" t="s">
        <v>174</v>
      </c>
      <c r="AO64" s="148">
        <v>500</v>
      </c>
      <c r="AP64" s="82">
        <v>100000</v>
      </c>
      <c r="AQ64" s="86">
        <v>12.699999999999999</v>
      </c>
      <c r="AR64" s="151" t="s">
        <v>147</v>
      </c>
      <c r="AS64" s="84">
        <f t="shared" si="12"/>
        <v>322.5</v>
      </c>
      <c r="AT64" s="84">
        <f t="shared" si="13"/>
        <v>196.11750000000001</v>
      </c>
      <c r="AU64" s="85">
        <v>7</v>
      </c>
      <c r="AV64" s="85">
        <v>5</v>
      </c>
      <c r="AW64" s="86">
        <v>24</v>
      </c>
      <c r="AX64" s="84">
        <f t="shared" si="14"/>
        <v>304.01999999999998</v>
      </c>
      <c r="AY64" s="84">
        <f t="shared" si="15"/>
        <v>182.4375</v>
      </c>
      <c r="AZ64" s="85">
        <v>7</v>
      </c>
      <c r="BA64" s="85">
        <v>5</v>
      </c>
      <c r="BB64" s="86">
        <v>15</v>
      </c>
      <c r="BC64" s="84">
        <f t="shared" si="16"/>
        <v>983.85000000000002</v>
      </c>
      <c r="BD64" s="84">
        <f t="shared" si="17"/>
        <v>127.3125</v>
      </c>
      <c r="BE64" s="85">
        <v>8</v>
      </c>
      <c r="BF64" s="85">
        <v>6</v>
      </c>
      <c r="BG64" s="86">
        <v>12</v>
      </c>
      <c r="BH64" s="84">
        <f t="shared" si="18"/>
        <v>1340.73</v>
      </c>
      <c r="BI64" s="84">
        <f t="shared" si="19"/>
        <v>127.3125</v>
      </c>
      <c r="BJ64" s="85">
        <v>12</v>
      </c>
      <c r="BK64" s="85">
        <v>9</v>
      </c>
      <c r="BL64" s="86">
        <v>14</v>
      </c>
      <c r="BM64" s="71">
        <v>5000</v>
      </c>
      <c r="BN64" s="84">
        <f t="shared" si="20"/>
        <v>1303.0875000000001</v>
      </c>
      <c r="BO64" s="71">
        <v>5100</v>
      </c>
      <c r="BP64" s="84">
        <f t="shared" si="21"/>
        <v>1234.4512500000001</v>
      </c>
      <c r="BQ64" s="71">
        <v>50000</v>
      </c>
      <c r="BR64" s="84">
        <f t="shared" si="22"/>
        <v>7349.4750000000004</v>
      </c>
      <c r="BS64" s="71">
        <v>51000</v>
      </c>
      <c r="BT64" s="84">
        <f t="shared" si="23"/>
        <v>7833.6674999999996</v>
      </c>
      <c r="BU64" s="84">
        <v>90</v>
      </c>
      <c r="BV64" s="84">
        <v>45.030000000000001</v>
      </c>
      <c r="BY64" s="84">
        <v>90</v>
      </c>
      <c r="BZ64" s="84">
        <v>45.030000000000001</v>
      </c>
      <c r="CC64" s="84">
        <v>305</v>
      </c>
      <c r="CD64" s="84">
        <v>24.050000000000001</v>
      </c>
      <c r="CG64" s="84">
        <v>305</v>
      </c>
      <c r="CH64" s="84">
        <v>24.050000000000001</v>
      </c>
      <c r="CK64" s="84">
        <v>125</v>
      </c>
      <c r="CL64" s="84">
        <v>125</v>
      </c>
      <c r="CM64" s="84">
        <v>125</v>
      </c>
      <c r="CN64" s="84">
        <v>125</v>
      </c>
      <c r="CO64" s="84">
        <v>125</v>
      </c>
      <c r="CP64" s="84">
        <v>125</v>
      </c>
      <c r="CQ64" s="84">
        <v>125</v>
      </c>
      <c r="CR64" s="84">
        <v>125</v>
      </c>
      <c r="CS64" s="112">
        <v>50</v>
      </c>
      <c r="CT64" s="112">
        <v>39.5</v>
      </c>
      <c r="CU64" s="76" t="s">
        <v>175</v>
      </c>
      <c r="CW64" s="112">
        <v>42.299999999999997</v>
      </c>
      <c r="CX64" s="112">
        <v>33.799999999999997</v>
      </c>
      <c r="CY64" s="76" t="s">
        <v>175</v>
      </c>
      <c r="DA64" s="112">
        <v>124</v>
      </c>
      <c r="DB64" s="112">
        <v>30.5</v>
      </c>
      <c r="DC64" s="76" t="s">
        <v>175</v>
      </c>
      <c r="DE64" s="112">
        <v>272.69999999999999</v>
      </c>
      <c r="DF64" s="112">
        <v>30.5</v>
      </c>
      <c r="DG64" s="76" t="s">
        <v>175</v>
      </c>
      <c r="DI64" s="84">
        <v>140</v>
      </c>
      <c r="DJ64" s="84">
        <v>140</v>
      </c>
      <c r="DK64" s="84">
        <v>140</v>
      </c>
      <c r="DL64" s="84">
        <v>140</v>
      </c>
      <c r="DM64" s="84">
        <v>140</v>
      </c>
      <c r="DN64" s="84">
        <v>140</v>
      </c>
      <c r="DO64" s="84">
        <v>140</v>
      </c>
      <c r="DP64" s="84">
        <v>140</v>
      </c>
    </row>
    <row r="65" s="76" customFormat="1" ht="15.75" customHeight="1">
      <c r="A65" s="71">
        <v>2000000</v>
      </c>
      <c r="B65" s="72" t="s">
        <v>157</v>
      </c>
      <c r="C65" s="75" t="s">
        <v>158</v>
      </c>
      <c r="D65" s="71">
        <v>2240000</v>
      </c>
      <c r="E65" s="73" t="s">
        <v>263</v>
      </c>
      <c r="F65" s="108" t="s">
        <v>264</v>
      </c>
      <c r="G65" s="74"/>
      <c r="H65" s="74"/>
      <c r="I65" s="72"/>
      <c r="J65" s="72"/>
      <c r="L65" s="72" t="s">
        <v>274</v>
      </c>
      <c r="M65" s="73" t="s">
        <v>263</v>
      </c>
      <c r="N65" s="109"/>
      <c r="O65" s="109"/>
      <c r="T65" s="77"/>
      <c r="U65" s="76" t="s">
        <v>267</v>
      </c>
      <c r="V65" s="76" t="s">
        <v>273</v>
      </c>
      <c r="W65" s="76" t="s">
        <v>182</v>
      </c>
      <c r="X65" s="77" t="s">
        <v>167</v>
      </c>
      <c r="Y65" s="76" t="s">
        <v>168</v>
      </c>
      <c r="Z65" s="76" t="s">
        <v>169</v>
      </c>
      <c r="AD65" s="76" t="s">
        <v>170</v>
      </c>
      <c r="AE65" s="148" t="s">
        <v>171</v>
      </c>
      <c r="AF65" s="148" t="s">
        <v>171</v>
      </c>
      <c r="AG65" s="77" t="s">
        <v>219</v>
      </c>
      <c r="AH65" s="77"/>
      <c r="AI65" s="77"/>
      <c r="AJ65" s="77"/>
      <c r="AK65" s="77"/>
      <c r="AL65" s="76" t="s">
        <v>270</v>
      </c>
      <c r="AN65" s="99" t="s">
        <v>174</v>
      </c>
      <c r="AO65" s="148">
        <v>500</v>
      </c>
      <c r="AP65" s="82">
        <v>100000</v>
      </c>
      <c r="AQ65" s="86">
        <v>15.9</v>
      </c>
      <c r="AR65" s="151" t="s">
        <v>147</v>
      </c>
      <c r="AS65" s="84">
        <f t="shared" si="12"/>
        <v>334.5</v>
      </c>
      <c r="AT65" s="84">
        <f t="shared" si="13"/>
        <v>221.5575</v>
      </c>
      <c r="AU65" s="85">
        <v>7</v>
      </c>
      <c r="AV65" s="85">
        <v>5</v>
      </c>
      <c r="AW65" s="86">
        <v>24</v>
      </c>
      <c r="AX65" s="84">
        <f t="shared" si="14"/>
        <v>331.85999999999996</v>
      </c>
      <c r="AY65" s="84">
        <f t="shared" si="15"/>
        <v>204.03750000000002</v>
      </c>
      <c r="AZ65" s="85">
        <v>7</v>
      </c>
      <c r="BA65" s="85">
        <v>5</v>
      </c>
      <c r="BB65" s="86">
        <v>15</v>
      </c>
      <c r="BC65" s="84">
        <f t="shared" si="16"/>
        <v>1029.45</v>
      </c>
      <c r="BD65" s="84">
        <f t="shared" si="17"/>
        <v>147.23249999999999</v>
      </c>
      <c r="BE65" s="85">
        <v>8</v>
      </c>
      <c r="BF65" s="85">
        <v>6</v>
      </c>
      <c r="BG65" s="86">
        <v>12</v>
      </c>
      <c r="BH65" s="84">
        <f t="shared" si="18"/>
        <v>1728.8099999999999</v>
      </c>
      <c r="BI65" s="84">
        <f t="shared" si="19"/>
        <v>143.39249999999998</v>
      </c>
      <c r="BJ65" s="85">
        <v>12</v>
      </c>
      <c r="BK65" s="85">
        <v>9</v>
      </c>
      <c r="BL65" s="86">
        <v>14</v>
      </c>
      <c r="BM65" s="71">
        <v>5000</v>
      </c>
      <c r="BN65" s="84">
        <f t="shared" si="20"/>
        <v>1442.2874999999999</v>
      </c>
      <c r="BO65" s="71">
        <v>10000</v>
      </c>
      <c r="BP65" s="84">
        <f t="shared" si="21"/>
        <v>2372.2350000000001</v>
      </c>
      <c r="BQ65" s="71">
        <v>50000</v>
      </c>
      <c r="BR65" s="84">
        <f t="shared" si="22"/>
        <v>8391.0749999999989</v>
      </c>
      <c r="BS65" s="71">
        <v>51000</v>
      </c>
      <c r="BT65" s="84">
        <f t="shared" si="23"/>
        <v>9041.8274999999994</v>
      </c>
      <c r="BU65" s="84">
        <v>90</v>
      </c>
      <c r="BV65" s="84">
        <v>45.030000000000001</v>
      </c>
      <c r="BY65" s="84">
        <v>90</v>
      </c>
      <c r="BZ65" s="84">
        <v>45.030000000000001</v>
      </c>
      <c r="CC65" s="84">
        <v>305</v>
      </c>
      <c r="CD65" s="84">
        <v>24.050000000000001</v>
      </c>
      <c r="CG65" s="84">
        <v>305</v>
      </c>
      <c r="CH65" s="84">
        <v>24.050000000000001</v>
      </c>
      <c r="CK65" s="84">
        <v>125</v>
      </c>
      <c r="CL65" s="84">
        <v>125</v>
      </c>
      <c r="CM65" s="84">
        <v>125</v>
      </c>
      <c r="CN65" s="84">
        <v>125</v>
      </c>
      <c r="CO65" s="84">
        <v>125</v>
      </c>
      <c r="CP65" s="84">
        <v>125</v>
      </c>
      <c r="CQ65" s="84">
        <v>125</v>
      </c>
      <c r="CR65" s="84">
        <v>125</v>
      </c>
      <c r="CS65" s="112">
        <v>55</v>
      </c>
      <c r="CT65" s="112">
        <v>50.100000000000001</v>
      </c>
      <c r="CU65" s="76" t="s">
        <v>175</v>
      </c>
      <c r="CW65" s="112">
        <v>53.899999999999999</v>
      </c>
      <c r="CX65" s="112">
        <v>42.799999999999997</v>
      </c>
      <c r="CY65" s="76" t="s">
        <v>175</v>
      </c>
      <c r="DA65" s="112">
        <v>143</v>
      </c>
      <c r="DB65" s="112">
        <v>38.799999999999997</v>
      </c>
      <c r="DC65" s="76" t="s">
        <v>175</v>
      </c>
      <c r="DE65" s="112">
        <v>434.39999999999998</v>
      </c>
      <c r="DF65" s="112">
        <v>37.200000000000003</v>
      </c>
      <c r="DG65" s="76" t="s">
        <v>175</v>
      </c>
      <c r="DI65" s="84">
        <v>140</v>
      </c>
      <c r="DJ65" s="84">
        <v>140</v>
      </c>
      <c r="DK65" s="84">
        <v>140</v>
      </c>
      <c r="DL65" s="84">
        <v>140</v>
      </c>
      <c r="DM65" s="84">
        <v>140</v>
      </c>
      <c r="DN65" s="84">
        <v>140</v>
      </c>
      <c r="DO65" s="84">
        <v>140</v>
      </c>
      <c r="DP65" s="84">
        <v>140</v>
      </c>
    </row>
    <row r="66" s="81" customFormat="1" ht="15.75" customHeight="1">
      <c r="A66" s="71">
        <v>2000000</v>
      </c>
      <c r="B66" s="72" t="s">
        <v>157</v>
      </c>
      <c r="C66" s="75" t="s">
        <v>158</v>
      </c>
      <c r="D66" s="71">
        <v>2240000</v>
      </c>
      <c r="E66" s="73" t="s">
        <v>263</v>
      </c>
      <c r="F66" s="108" t="s">
        <v>264</v>
      </c>
      <c r="G66" s="93"/>
      <c r="H66" s="93"/>
      <c r="I66" s="91"/>
      <c r="J66" s="91"/>
      <c r="L66" s="91" t="s">
        <v>275</v>
      </c>
      <c r="M66" s="73" t="s">
        <v>263</v>
      </c>
      <c r="N66" s="94"/>
      <c r="O66" s="94"/>
      <c r="T66" s="94"/>
      <c r="U66" s="76" t="s">
        <v>267</v>
      </c>
      <c r="V66" s="76" t="s">
        <v>273</v>
      </c>
      <c r="W66" s="76" t="s">
        <v>182</v>
      </c>
      <c r="X66" s="94" t="s">
        <v>167</v>
      </c>
      <c r="Y66" s="76" t="s">
        <v>177</v>
      </c>
      <c r="Z66" s="81" t="s">
        <v>169</v>
      </c>
      <c r="AD66" s="76" t="s">
        <v>170</v>
      </c>
      <c r="AE66" s="148" t="s">
        <v>171</v>
      </c>
      <c r="AF66" s="148" t="s">
        <v>171</v>
      </c>
      <c r="AG66" s="77" t="s">
        <v>219</v>
      </c>
      <c r="AH66" s="77"/>
      <c r="AI66" s="77"/>
      <c r="AJ66" s="77"/>
      <c r="AK66" s="77"/>
      <c r="AL66" s="81" t="s">
        <v>270</v>
      </c>
      <c r="AN66" s="95" t="s">
        <v>174</v>
      </c>
      <c r="AO66" s="148">
        <v>500</v>
      </c>
      <c r="AP66" s="82">
        <v>100000</v>
      </c>
      <c r="AQ66" s="96">
        <v>23.399999999999999</v>
      </c>
      <c r="AR66" s="148" t="s">
        <v>147</v>
      </c>
      <c r="AS66" s="97">
        <f t="shared" si="12"/>
        <v>382.5</v>
      </c>
      <c r="AT66" s="97">
        <f t="shared" si="13"/>
        <v>257.3175</v>
      </c>
      <c r="AU66" s="85">
        <v>7</v>
      </c>
      <c r="AV66" s="85">
        <v>5</v>
      </c>
      <c r="AW66" s="86">
        <v>24</v>
      </c>
      <c r="AX66" s="97">
        <f t="shared" si="14"/>
        <v>432.17999999999995</v>
      </c>
      <c r="AY66" s="97">
        <f t="shared" si="15"/>
        <v>235.7175</v>
      </c>
      <c r="AZ66" s="85">
        <v>7</v>
      </c>
      <c r="BA66" s="85">
        <v>5</v>
      </c>
      <c r="BB66" s="86">
        <v>15</v>
      </c>
      <c r="BC66" s="97">
        <f t="shared" si="16"/>
        <v>1094.25</v>
      </c>
      <c r="BD66" s="97">
        <f t="shared" si="17"/>
        <v>181.3125</v>
      </c>
      <c r="BE66" s="85">
        <v>8</v>
      </c>
      <c r="BF66" s="85">
        <v>6</v>
      </c>
      <c r="BG66" s="86">
        <v>12</v>
      </c>
      <c r="BH66" s="97">
        <f t="shared" si="18"/>
        <v>1984.4100000000001</v>
      </c>
      <c r="BI66" s="97">
        <f t="shared" si="19"/>
        <v>173.63249999999999</v>
      </c>
      <c r="BJ66" s="85">
        <v>12</v>
      </c>
      <c r="BK66" s="85">
        <v>9</v>
      </c>
      <c r="BL66" s="86">
        <v>14</v>
      </c>
      <c r="BM66" s="82">
        <v>5000</v>
      </c>
      <c r="BN66" s="97">
        <f t="shared" si="20"/>
        <v>1669.0875000000001</v>
      </c>
      <c r="BO66" s="82">
        <v>5100</v>
      </c>
      <c r="BP66" s="97">
        <f t="shared" si="21"/>
        <v>1634.33925</v>
      </c>
      <c r="BQ66" s="82">
        <v>50000</v>
      </c>
      <c r="BR66" s="97">
        <f t="shared" si="22"/>
        <v>10159.875</v>
      </c>
      <c r="BS66" s="82">
        <v>51000</v>
      </c>
      <c r="BT66" s="97">
        <f t="shared" si="23"/>
        <v>10839.6675</v>
      </c>
      <c r="BU66" s="97">
        <v>90</v>
      </c>
      <c r="BV66" s="97">
        <v>45.030000000000001</v>
      </c>
      <c r="BY66" s="97">
        <v>90</v>
      </c>
      <c r="BZ66" s="97">
        <v>45.030000000000001</v>
      </c>
      <c r="CC66" s="97">
        <v>305</v>
      </c>
      <c r="CD66" s="97">
        <v>24.050000000000001</v>
      </c>
      <c r="CG66" s="97">
        <v>305</v>
      </c>
      <c r="CH66" s="97">
        <v>24.050000000000001</v>
      </c>
      <c r="CK66" s="84">
        <v>125</v>
      </c>
      <c r="CL66" s="84">
        <v>125</v>
      </c>
      <c r="CM66" s="84">
        <v>125</v>
      </c>
      <c r="CN66" s="84">
        <v>125</v>
      </c>
      <c r="CO66" s="84">
        <v>125</v>
      </c>
      <c r="CP66" s="84">
        <v>125</v>
      </c>
      <c r="CQ66" s="84">
        <v>125</v>
      </c>
      <c r="CR66" s="84">
        <v>125</v>
      </c>
      <c r="CS66" s="152">
        <v>75</v>
      </c>
      <c r="CT66" s="152">
        <v>65</v>
      </c>
      <c r="CU66" s="81" t="s">
        <v>175</v>
      </c>
      <c r="CW66" s="152">
        <v>95.700000000000003</v>
      </c>
      <c r="CX66" s="152">
        <v>56</v>
      </c>
      <c r="CY66" s="81" t="s">
        <v>175</v>
      </c>
      <c r="DA66" s="152">
        <v>170</v>
      </c>
      <c r="DB66" s="152">
        <v>53</v>
      </c>
      <c r="DC66" s="81" t="s">
        <v>175</v>
      </c>
      <c r="DE66" s="152">
        <v>540.89999999999998</v>
      </c>
      <c r="DF66" s="152">
        <v>49.799999999999997</v>
      </c>
      <c r="DG66" s="81" t="s">
        <v>175</v>
      </c>
      <c r="DI66" s="97">
        <v>140</v>
      </c>
      <c r="DJ66" s="97">
        <v>140</v>
      </c>
      <c r="DK66" s="97">
        <v>140</v>
      </c>
      <c r="DL66" s="97">
        <v>140</v>
      </c>
      <c r="DM66" s="97">
        <v>140</v>
      </c>
      <c r="DN66" s="97">
        <v>140</v>
      </c>
      <c r="DO66" s="97">
        <v>140</v>
      </c>
      <c r="DP66" s="97">
        <v>140</v>
      </c>
    </row>
    <row r="67" s="81" customFormat="1" ht="15.75" customHeight="1">
      <c r="A67" s="71">
        <v>2000000</v>
      </c>
      <c r="B67" s="72" t="s">
        <v>157</v>
      </c>
      <c r="C67" s="75" t="s">
        <v>158</v>
      </c>
      <c r="D67" s="71">
        <v>2240000</v>
      </c>
      <c r="E67" s="73" t="s">
        <v>263</v>
      </c>
      <c r="F67" s="108" t="s">
        <v>264</v>
      </c>
      <c r="G67" s="93"/>
      <c r="H67" s="93"/>
      <c r="I67" s="91"/>
      <c r="J67" s="91"/>
      <c r="L67" s="91" t="s">
        <v>276</v>
      </c>
      <c r="M67" s="73" t="s">
        <v>263</v>
      </c>
      <c r="N67" s="153" t="s">
        <v>277</v>
      </c>
      <c r="O67" s="153"/>
      <c r="T67" s="94"/>
      <c r="U67" s="76" t="s">
        <v>267</v>
      </c>
      <c r="V67" s="76" t="s">
        <v>278</v>
      </c>
      <c r="W67" s="76" t="s">
        <v>193</v>
      </c>
      <c r="X67" s="94" t="s">
        <v>167</v>
      </c>
      <c r="Y67" s="76" t="s">
        <v>183</v>
      </c>
      <c r="Z67" s="81" t="s">
        <v>169</v>
      </c>
      <c r="AD67" s="76" t="s">
        <v>170</v>
      </c>
      <c r="AE67" s="148" t="s">
        <v>171</v>
      </c>
      <c r="AF67" s="148" t="s">
        <v>171</v>
      </c>
      <c r="AG67" s="77" t="s">
        <v>219</v>
      </c>
      <c r="AH67" s="77"/>
      <c r="AI67" s="77"/>
      <c r="AJ67" s="77"/>
      <c r="AK67" s="77"/>
      <c r="AL67" s="81" t="s">
        <v>270</v>
      </c>
      <c r="AN67" s="95" t="s">
        <v>174</v>
      </c>
      <c r="AO67" s="148">
        <v>500</v>
      </c>
      <c r="AP67" s="82">
        <v>100000</v>
      </c>
      <c r="AQ67" s="96">
        <v>16.800000000000001</v>
      </c>
      <c r="AR67" s="148" t="s">
        <v>147</v>
      </c>
      <c r="AS67" s="97">
        <f t="shared" si="12"/>
        <v>370.5</v>
      </c>
      <c r="AT67" s="97">
        <f t="shared" si="13"/>
        <v>222.2775</v>
      </c>
      <c r="AU67" s="85">
        <v>7</v>
      </c>
      <c r="AV67" s="85">
        <v>5</v>
      </c>
      <c r="AW67" s="86">
        <v>24</v>
      </c>
      <c r="AX67" s="97">
        <f t="shared" si="14"/>
        <v>377.69999999999999</v>
      </c>
      <c r="AY67" s="97">
        <f t="shared" si="15"/>
        <v>209.3175</v>
      </c>
      <c r="AZ67" s="85">
        <v>7</v>
      </c>
      <c r="BA67" s="85">
        <v>5</v>
      </c>
      <c r="BB67" s="86">
        <v>15</v>
      </c>
      <c r="BC67" s="97">
        <f t="shared" si="16"/>
        <v>1051.29</v>
      </c>
      <c r="BD67" s="97">
        <f t="shared" si="17"/>
        <v>157.3125</v>
      </c>
      <c r="BE67" s="85">
        <v>8</v>
      </c>
      <c r="BF67" s="85">
        <v>6</v>
      </c>
      <c r="BG67" s="86">
        <v>12</v>
      </c>
      <c r="BH67" s="97">
        <f t="shared" si="18"/>
        <v>1581.21</v>
      </c>
      <c r="BI67" s="97">
        <f t="shared" si="19"/>
        <v>154.91249999999999</v>
      </c>
      <c r="BJ67" s="85">
        <v>12</v>
      </c>
      <c r="BK67" s="85">
        <v>9</v>
      </c>
      <c r="BL67" s="86">
        <v>14</v>
      </c>
      <c r="BM67" s="82">
        <v>5000</v>
      </c>
      <c r="BN67" s="97">
        <f t="shared" si="20"/>
        <v>1481.8875</v>
      </c>
      <c r="BO67" s="82">
        <v>5100</v>
      </c>
      <c r="BP67" s="97">
        <f t="shared" si="21"/>
        <v>1445.2192500000001</v>
      </c>
      <c r="BQ67" s="82">
        <v>50000</v>
      </c>
      <c r="BR67" s="97">
        <f t="shared" si="22"/>
        <v>8916.9150000000009</v>
      </c>
      <c r="BS67" s="82">
        <v>51000</v>
      </c>
      <c r="BT67" s="97">
        <f t="shared" si="23"/>
        <v>9481.7475000000013</v>
      </c>
      <c r="BU67" s="97">
        <v>90</v>
      </c>
      <c r="BV67" s="97">
        <v>45.030000000000001</v>
      </c>
      <c r="BY67" s="97">
        <v>90</v>
      </c>
      <c r="BZ67" s="97">
        <v>45.030000000000001</v>
      </c>
      <c r="CC67" s="97">
        <v>305</v>
      </c>
      <c r="CD67" s="97">
        <v>24.050000000000001</v>
      </c>
      <c r="CG67" s="97">
        <v>305</v>
      </c>
      <c r="CH67" s="97">
        <v>24.050000000000001</v>
      </c>
      <c r="CK67" s="84">
        <v>125</v>
      </c>
      <c r="CL67" s="84">
        <v>125</v>
      </c>
      <c r="CM67" s="84">
        <v>125</v>
      </c>
      <c r="CN67" s="84">
        <v>125</v>
      </c>
      <c r="CO67" s="84">
        <v>125</v>
      </c>
      <c r="CP67" s="84">
        <v>125</v>
      </c>
      <c r="CQ67" s="84">
        <v>125</v>
      </c>
      <c r="CR67" s="84">
        <v>125</v>
      </c>
      <c r="CS67" s="152">
        <v>70</v>
      </c>
      <c r="CT67" s="152">
        <v>50.399999999999999</v>
      </c>
      <c r="CU67" s="81" t="s">
        <v>175</v>
      </c>
      <c r="CW67" s="152">
        <v>73</v>
      </c>
      <c r="CX67" s="152">
        <v>45</v>
      </c>
      <c r="CY67" s="81" t="s">
        <v>175</v>
      </c>
      <c r="DA67" s="152">
        <v>152.09999999999999</v>
      </c>
      <c r="DB67" s="152">
        <v>43</v>
      </c>
      <c r="DC67" s="81" t="s">
        <v>175</v>
      </c>
      <c r="DE67" s="152">
        <v>372.89999999999998</v>
      </c>
      <c r="DF67" s="152">
        <v>42</v>
      </c>
      <c r="DG67" s="81" t="s">
        <v>175</v>
      </c>
      <c r="DI67" s="97">
        <v>140</v>
      </c>
      <c r="DJ67" s="97">
        <v>140</v>
      </c>
      <c r="DK67" s="97">
        <v>140</v>
      </c>
      <c r="DL67" s="97">
        <v>140</v>
      </c>
      <c r="DM67" s="97">
        <v>140</v>
      </c>
      <c r="DN67" s="97">
        <v>140</v>
      </c>
      <c r="DO67" s="97">
        <v>140</v>
      </c>
      <c r="DP67" s="97">
        <v>140</v>
      </c>
    </row>
    <row r="68" s="81" customFormat="1" ht="15.75" customHeight="1">
      <c r="A68" s="71">
        <v>2000000</v>
      </c>
      <c r="B68" s="72" t="s">
        <v>157</v>
      </c>
      <c r="C68" s="75" t="s">
        <v>158</v>
      </c>
      <c r="D68" s="71">
        <v>2240000</v>
      </c>
      <c r="E68" s="73" t="s">
        <v>263</v>
      </c>
      <c r="F68" s="108" t="s">
        <v>264</v>
      </c>
      <c r="G68" s="93"/>
      <c r="H68" s="93"/>
      <c r="I68" s="91"/>
      <c r="J68" s="91"/>
      <c r="L68" s="91" t="s">
        <v>279</v>
      </c>
      <c r="M68" s="73" t="s">
        <v>263</v>
      </c>
      <c r="N68" s="153"/>
      <c r="O68" s="153"/>
      <c r="T68" s="94"/>
      <c r="U68" s="76" t="s">
        <v>267</v>
      </c>
      <c r="V68" s="76" t="s">
        <v>278</v>
      </c>
      <c r="W68" s="76" t="s">
        <v>193</v>
      </c>
      <c r="X68" s="94" t="s">
        <v>167</v>
      </c>
      <c r="Y68" s="76" t="s">
        <v>168</v>
      </c>
      <c r="Z68" s="81" t="s">
        <v>169</v>
      </c>
      <c r="AD68" s="76" t="s">
        <v>170</v>
      </c>
      <c r="AE68" s="148" t="s">
        <v>171</v>
      </c>
      <c r="AF68" s="148" t="s">
        <v>171</v>
      </c>
      <c r="AG68" s="77" t="s">
        <v>219</v>
      </c>
      <c r="AH68" s="77"/>
      <c r="AI68" s="77"/>
      <c r="AJ68" s="77"/>
      <c r="AK68" s="77"/>
      <c r="AL68" s="81" t="s">
        <v>270</v>
      </c>
      <c r="AN68" s="95" t="s">
        <v>174</v>
      </c>
      <c r="AO68" s="148">
        <v>500</v>
      </c>
      <c r="AP68" s="82">
        <v>100000</v>
      </c>
      <c r="AQ68" s="96">
        <v>21.100000000000001</v>
      </c>
      <c r="AR68" s="148" t="s">
        <v>147</v>
      </c>
      <c r="AS68" s="97">
        <f t="shared" si="12"/>
        <v>406.5</v>
      </c>
      <c r="AT68" s="97">
        <f t="shared" si="13"/>
        <v>242.91749999999999</v>
      </c>
      <c r="AU68" s="85">
        <v>7</v>
      </c>
      <c r="AV68" s="85">
        <v>5</v>
      </c>
      <c r="AW68" s="86">
        <v>24</v>
      </c>
      <c r="AX68" s="97">
        <f t="shared" si="14"/>
        <v>535.86000000000001</v>
      </c>
      <c r="AY68" s="97">
        <f t="shared" si="15"/>
        <v>233.3175</v>
      </c>
      <c r="AZ68" s="85">
        <v>7</v>
      </c>
      <c r="BA68" s="85">
        <v>5</v>
      </c>
      <c r="BB68" s="86">
        <v>15</v>
      </c>
      <c r="BC68" s="97">
        <f t="shared" si="16"/>
        <v>1117.77</v>
      </c>
      <c r="BD68" s="97">
        <f t="shared" si="17"/>
        <v>170.51249999999999</v>
      </c>
      <c r="BE68" s="85">
        <v>8</v>
      </c>
      <c r="BF68" s="85">
        <v>6</v>
      </c>
      <c r="BG68" s="86">
        <v>12</v>
      </c>
      <c r="BH68" s="97">
        <f t="shared" si="18"/>
        <v>1683.9300000000001</v>
      </c>
      <c r="BI68" s="97">
        <f t="shared" si="19"/>
        <v>168.11250000000001</v>
      </c>
      <c r="BJ68" s="85">
        <v>12</v>
      </c>
      <c r="BK68" s="85">
        <v>9</v>
      </c>
      <c r="BL68" s="86">
        <v>14</v>
      </c>
      <c r="BM68" s="82">
        <v>5000</v>
      </c>
      <c r="BN68" s="97">
        <f t="shared" si="20"/>
        <v>1621.0875000000001</v>
      </c>
      <c r="BO68" s="82">
        <v>5100</v>
      </c>
      <c r="BP68" s="97">
        <f t="shared" si="21"/>
        <v>1725.77925</v>
      </c>
      <c r="BQ68" s="82">
        <v>50000</v>
      </c>
      <c r="BR68" s="97">
        <f t="shared" si="22"/>
        <v>9643.3950000000004</v>
      </c>
      <c r="BS68" s="82">
        <v>51000</v>
      </c>
      <c r="BT68" s="97">
        <f t="shared" si="23"/>
        <v>10257.6675</v>
      </c>
      <c r="BU68" s="97">
        <v>90</v>
      </c>
      <c r="BV68" s="97">
        <v>45.030000000000001</v>
      </c>
      <c r="BY68" s="97">
        <v>90</v>
      </c>
      <c r="BZ68" s="97">
        <v>45.030000000000001</v>
      </c>
      <c r="CC68" s="97">
        <v>305</v>
      </c>
      <c r="CD68" s="97">
        <v>24.050000000000001</v>
      </c>
      <c r="CG68" s="97">
        <v>305</v>
      </c>
      <c r="CH68" s="97">
        <v>24.050000000000001</v>
      </c>
      <c r="CK68" s="84">
        <v>125</v>
      </c>
      <c r="CL68" s="84">
        <v>125</v>
      </c>
      <c r="CM68" s="84">
        <v>125</v>
      </c>
      <c r="CN68" s="84">
        <v>125</v>
      </c>
      <c r="CO68" s="84">
        <v>125</v>
      </c>
      <c r="CP68" s="84">
        <v>125</v>
      </c>
      <c r="CQ68" s="84">
        <v>125</v>
      </c>
      <c r="CR68" s="84">
        <v>125</v>
      </c>
      <c r="CS68" s="152">
        <v>85</v>
      </c>
      <c r="CT68" s="152">
        <v>59</v>
      </c>
      <c r="CU68" s="81" t="s">
        <v>175</v>
      </c>
      <c r="CW68" s="152">
        <v>138.90000000000001</v>
      </c>
      <c r="CX68" s="152">
        <v>55</v>
      </c>
      <c r="CY68" s="81" t="s">
        <v>175</v>
      </c>
      <c r="DA68" s="152">
        <v>179.80000000000001</v>
      </c>
      <c r="DB68" s="152">
        <v>48.5</v>
      </c>
      <c r="DC68" s="81" t="s">
        <v>175</v>
      </c>
      <c r="DE68" s="152">
        <v>415.69999999999999</v>
      </c>
      <c r="DF68" s="152">
        <v>47.5</v>
      </c>
      <c r="DG68" s="81" t="s">
        <v>175</v>
      </c>
      <c r="DI68" s="97">
        <v>140</v>
      </c>
      <c r="DJ68" s="97">
        <v>140</v>
      </c>
      <c r="DK68" s="97">
        <v>140</v>
      </c>
      <c r="DL68" s="97">
        <v>140</v>
      </c>
      <c r="DM68" s="97">
        <v>140</v>
      </c>
      <c r="DN68" s="97">
        <v>140</v>
      </c>
      <c r="DO68" s="97">
        <v>140</v>
      </c>
      <c r="DP68" s="97">
        <v>140</v>
      </c>
    </row>
    <row r="69" s="81" customFormat="1" ht="15.75" customHeight="1">
      <c r="A69" s="71">
        <v>2000000</v>
      </c>
      <c r="B69" s="72" t="s">
        <v>157</v>
      </c>
      <c r="C69" s="75" t="s">
        <v>158</v>
      </c>
      <c r="D69" s="71">
        <v>2240000</v>
      </c>
      <c r="E69" s="73" t="s">
        <v>263</v>
      </c>
      <c r="F69" s="108" t="s">
        <v>264</v>
      </c>
      <c r="G69" s="93"/>
      <c r="H69" s="93"/>
      <c r="I69" s="91"/>
      <c r="J69" s="91"/>
      <c r="L69" s="91" t="s">
        <v>280</v>
      </c>
      <c r="M69" s="73" t="s">
        <v>263</v>
      </c>
      <c r="N69" s="94"/>
      <c r="O69" s="94"/>
      <c r="T69" s="94"/>
      <c r="U69" s="76" t="s">
        <v>267</v>
      </c>
      <c r="V69" s="76" t="s">
        <v>278</v>
      </c>
      <c r="W69" s="76" t="s">
        <v>193</v>
      </c>
      <c r="X69" s="94" t="s">
        <v>167</v>
      </c>
      <c r="Y69" s="76" t="s">
        <v>177</v>
      </c>
      <c r="Z69" s="81" t="s">
        <v>169</v>
      </c>
      <c r="AD69" s="76" t="s">
        <v>170</v>
      </c>
      <c r="AE69" s="148" t="s">
        <v>171</v>
      </c>
      <c r="AF69" s="148" t="s">
        <v>171</v>
      </c>
      <c r="AG69" s="77" t="s">
        <v>219</v>
      </c>
      <c r="AH69" s="77"/>
      <c r="AI69" s="77"/>
      <c r="AJ69" s="77"/>
      <c r="AK69" s="77"/>
      <c r="AL69" s="81" t="s">
        <v>270</v>
      </c>
      <c r="AN69" s="95" t="s">
        <v>174</v>
      </c>
      <c r="AO69" s="148">
        <v>500</v>
      </c>
      <c r="AP69" s="82">
        <v>100000</v>
      </c>
      <c r="AQ69" s="96">
        <v>31.100000000000001</v>
      </c>
      <c r="AR69" s="148" t="s">
        <v>147</v>
      </c>
      <c r="AS69" s="97">
        <f t="shared" si="12"/>
        <v>394.5</v>
      </c>
      <c r="AT69" s="97">
        <f t="shared" si="13"/>
        <v>310.35749999999996</v>
      </c>
      <c r="AU69" s="85">
        <v>7</v>
      </c>
      <c r="AV69" s="85">
        <v>5</v>
      </c>
      <c r="AW69" s="86">
        <v>24</v>
      </c>
      <c r="AX69" s="97">
        <f t="shared" si="14"/>
        <v>425.69999999999999</v>
      </c>
      <c r="AY69" s="97">
        <f t="shared" si="15"/>
        <v>282.51749999999998</v>
      </c>
      <c r="AZ69" s="85">
        <v>7</v>
      </c>
      <c r="BA69" s="85">
        <v>5</v>
      </c>
      <c r="BB69" s="86">
        <v>15</v>
      </c>
      <c r="BC69" s="97">
        <f t="shared" si="16"/>
        <v>1350.8099999999999</v>
      </c>
      <c r="BD69" s="97">
        <f t="shared" si="17"/>
        <v>229.3125</v>
      </c>
      <c r="BE69" s="85">
        <v>8</v>
      </c>
      <c r="BF69" s="85">
        <v>6</v>
      </c>
      <c r="BG69" s="86">
        <v>12</v>
      </c>
      <c r="BH69" s="97">
        <f t="shared" si="18"/>
        <v>2177.1300000000001</v>
      </c>
      <c r="BI69" s="97">
        <f t="shared" si="19"/>
        <v>228.11250000000001</v>
      </c>
      <c r="BJ69" s="85">
        <v>12</v>
      </c>
      <c r="BK69" s="85">
        <v>9</v>
      </c>
      <c r="BL69" s="86">
        <v>14</v>
      </c>
      <c r="BM69" s="82">
        <v>5000</v>
      </c>
      <c r="BN69" s="97">
        <f t="shared" si="20"/>
        <v>1946.2874999999997</v>
      </c>
      <c r="BO69" s="82">
        <v>5100</v>
      </c>
      <c r="BP69" s="97">
        <f t="shared" si="21"/>
        <v>1866.53925</v>
      </c>
      <c r="BQ69" s="82">
        <v>50000</v>
      </c>
      <c r="BR69" s="97">
        <f t="shared" si="22"/>
        <v>12816.434999999999</v>
      </c>
      <c r="BS69" s="82">
        <v>51000</v>
      </c>
      <c r="BT69" s="97">
        <f t="shared" si="23"/>
        <v>13810.8675</v>
      </c>
      <c r="BU69" s="97">
        <v>90</v>
      </c>
      <c r="BV69" s="97">
        <v>45.030000000000001</v>
      </c>
      <c r="BY69" s="97">
        <v>90</v>
      </c>
      <c r="BZ69" s="97">
        <v>45.030000000000001</v>
      </c>
      <c r="CC69" s="97">
        <v>305</v>
      </c>
      <c r="CD69" s="97">
        <v>24.050000000000001</v>
      </c>
      <c r="CG69" s="97">
        <v>305</v>
      </c>
      <c r="CH69" s="97">
        <v>24.050000000000001</v>
      </c>
      <c r="CK69" s="84">
        <v>125</v>
      </c>
      <c r="CL69" s="84">
        <v>125</v>
      </c>
      <c r="CM69" s="84">
        <v>125</v>
      </c>
      <c r="CN69" s="84">
        <v>125</v>
      </c>
      <c r="CO69" s="84">
        <v>125</v>
      </c>
      <c r="CP69" s="84">
        <v>125</v>
      </c>
      <c r="CQ69" s="84">
        <v>125</v>
      </c>
      <c r="CR69" s="84">
        <v>125</v>
      </c>
      <c r="CS69" s="152">
        <v>80</v>
      </c>
      <c r="CT69" s="152">
        <v>87.099999999999994</v>
      </c>
      <c r="CU69" s="81" t="s">
        <v>175</v>
      </c>
      <c r="CW69" s="152">
        <v>93</v>
      </c>
      <c r="CX69" s="152">
        <v>75.5</v>
      </c>
      <c r="CY69" s="81" t="s">
        <v>175</v>
      </c>
      <c r="DA69" s="152">
        <v>276.89999999999998</v>
      </c>
      <c r="DB69" s="152">
        <v>73</v>
      </c>
      <c r="DC69" s="81" t="s">
        <v>175</v>
      </c>
      <c r="DE69" s="152">
        <v>621.20000000000005</v>
      </c>
      <c r="DF69" s="152">
        <v>72.5</v>
      </c>
      <c r="DG69" s="81" t="s">
        <v>175</v>
      </c>
      <c r="DI69" s="97">
        <v>140</v>
      </c>
      <c r="DJ69" s="97">
        <v>140</v>
      </c>
      <c r="DK69" s="97">
        <v>140</v>
      </c>
      <c r="DL69" s="97">
        <v>140</v>
      </c>
      <c r="DM69" s="97">
        <v>140</v>
      </c>
      <c r="DN69" s="97">
        <v>140</v>
      </c>
      <c r="DO69" s="97">
        <v>140</v>
      </c>
      <c r="DP69" s="97">
        <v>140</v>
      </c>
    </row>
    <row r="70" s="51" customFormat="1" ht="72" customHeight="1">
      <c r="A70" s="52">
        <v>2000000</v>
      </c>
      <c r="B70" s="53" t="s">
        <v>157</v>
      </c>
      <c r="C70" s="75" t="s">
        <v>158</v>
      </c>
      <c r="D70" s="52">
        <v>2250000</v>
      </c>
      <c r="E70" s="54" t="s">
        <v>281</v>
      </c>
      <c r="F70" s="127" t="s">
        <v>282</v>
      </c>
      <c r="G70" s="55"/>
      <c r="H70" s="55"/>
      <c r="I70" s="53"/>
      <c r="J70" s="53"/>
      <c r="L70" s="53" t="s">
        <v>283</v>
      </c>
      <c r="M70" s="54" t="s">
        <v>281</v>
      </c>
      <c r="N70" s="131" t="s">
        <v>284</v>
      </c>
      <c r="O70" s="131"/>
      <c r="T70" s="57"/>
      <c r="U70" s="51" t="s">
        <v>180</v>
      </c>
      <c r="V70" s="51" t="s">
        <v>285</v>
      </c>
      <c r="W70" s="51" t="s">
        <v>204</v>
      </c>
      <c r="X70" s="57" t="s">
        <v>167</v>
      </c>
      <c r="Y70" s="51" t="s">
        <v>286</v>
      </c>
      <c r="Z70" s="51" t="s">
        <v>169</v>
      </c>
      <c r="AD70" s="51" t="s">
        <v>170</v>
      </c>
      <c r="AE70" s="51" t="s">
        <v>171</v>
      </c>
      <c r="AF70" s="51" t="s">
        <v>171</v>
      </c>
      <c r="AG70" s="57" t="s">
        <v>287</v>
      </c>
      <c r="AH70" s="57"/>
      <c r="AI70" s="57"/>
      <c r="AJ70" s="57"/>
      <c r="AK70" s="57"/>
      <c r="AN70" s="106" t="s">
        <v>174</v>
      </c>
      <c r="AO70" s="51">
        <v>500</v>
      </c>
      <c r="AP70" s="60">
        <v>100000</v>
      </c>
      <c r="AQ70" s="64">
        <v>14.5</v>
      </c>
      <c r="AR70" s="51" t="s">
        <v>92</v>
      </c>
      <c r="AS70" s="62">
        <f t="shared" si="12"/>
        <v>648.09000000000003</v>
      </c>
      <c r="AT70" s="62">
        <f t="shared" si="13"/>
        <v>246.8775</v>
      </c>
      <c r="AU70" s="63">
        <v>7</v>
      </c>
      <c r="AV70" s="63">
        <v>5</v>
      </c>
      <c r="AW70" s="64">
        <v>24</v>
      </c>
      <c r="AX70" s="62">
        <f t="shared" si="14"/>
        <v>766.40999999999997</v>
      </c>
      <c r="AY70" s="62">
        <f t="shared" si="15"/>
        <v>213.75749999999999</v>
      </c>
      <c r="AZ70" s="63">
        <v>7</v>
      </c>
      <c r="BA70" s="63">
        <v>5</v>
      </c>
      <c r="BB70" s="64">
        <v>20</v>
      </c>
      <c r="BC70" s="62">
        <f t="shared" si="16"/>
        <v>867.69000000000005</v>
      </c>
      <c r="BD70" s="62">
        <f t="shared" si="17"/>
        <v>203.4375</v>
      </c>
      <c r="BE70" s="63">
        <v>8</v>
      </c>
      <c r="BF70" s="63">
        <v>6</v>
      </c>
      <c r="BG70" s="64">
        <v>18</v>
      </c>
      <c r="BH70" s="62">
        <f t="shared" si="18"/>
        <v>1312.1700000000001</v>
      </c>
      <c r="BI70" s="62">
        <f t="shared" si="19"/>
        <v>202.7175</v>
      </c>
      <c r="BJ70" s="63">
        <v>12</v>
      </c>
      <c r="BK70" s="63">
        <v>9</v>
      </c>
      <c r="BL70" s="64">
        <v>15</v>
      </c>
      <c r="BM70" s="52">
        <v>4000</v>
      </c>
      <c r="BN70" s="62">
        <f t="shared" si="20"/>
        <v>1635.5999999999999</v>
      </c>
      <c r="BO70" s="52">
        <v>8000</v>
      </c>
      <c r="BP70" s="62">
        <f t="shared" si="21"/>
        <v>2476.4699999999998</v>
      </c>
      <c r="BQ70" s="52">
        <v>22000</v>
      </c>
      <c r="BR70" s="62">
        <f t="shared" si="22"/>
        <v>5343.3150000000005</v>
      </c>
      <c r="BS70" s="52">
        <v>60000</v>
      </c>
      <c r="BT70" s="62">
        <f t="shared" si="23"/>
        <v>13475.219999999999</v>
      </c>
      <c r="BU70" s="62">
        <v>159.40000000000001</v>
      </c>
      <c r="BV70" s="62">
        <v>51.43</v>
      </c>
      <c r="BY70" s="62">
        <v>159.40000000000001</v>
      </c>
      <c r="BZ70" s="62">
        <v>51.43</v>
      </c>
      <c r="CC70" s="62">
        <v>159.40000000000001</v>
      </c>
      <c r="CD70" s="62">
        <v>51.43</v>
      </c>
      <c r="CG70" s="62">
        <v>159.40000000000001</v>
      </c>
      <c r="CH70" s="62">
        <v>51.43</v>
      </c>
      <c r="CK70" s="62">
        <v>125</v>
      </c>
      <c r="CL70" s="62">
        <v>125</v>
      </c>
      <c r="CM70" s="62">
        <v>125</v>
      </c>
      <c r="CN70" s="62">
        <v>125</v>
      </c>
      <c r="CO70" s="62">
        <v>125</v>
      </c>
      <c r="CP70" s="62">
        <v>125</v>
      </c>
      <c r="CQ70" s="62">
        <v>125</v>
      </c>
      <c r="CR70" s="62">
        <v>125</v>
      </c>
      <c r="CS70" s="130">
        <v>120.59999999999999</v>
      </c>
      <c r="CT70" s="130">
        <v>54.649999999999999</v>
      </c>
      <c r="CU70" s="51" t="s">
        <v>175</v>
      </c>
      <c r="CW70" s="130">
        <v>169.90000000000001</v>
      </c>
      <c r="CX70" s="130">
        <v>40.850000000000001</v>
      </c>
      <c r="CY70" s="51" t="s">
        <v>175</v>
      </c>
      <c r="DA70" s="130">
        <v>212.09999999999999</v>
      </c>
      <c r="DB70" s="130">
        <v>36.549999999999997</v>
      </c>
      <c r="DC70" s="51" t="s">
        <v>175</v>
      </c>
      <c r="DE70" s="130">
        <v>397.30000000000001</v>
      </c>
      <c r="DF70" s="130">
        <v>36.25</v>
      </c>
      <c r="DG70" s="51" t="s">
        <v>175</v>
      </c>
      <c r="DI70" s="62">
        <v>140</v>
      </c>
      <c r="DJ70" s="62">
        <v>140</v>
      </c>
      <c r="DK70" s="62">
        <v>140</v>
      </c>
      <c r="DL70" s="62">
        <v>140</v>
      </c>
      <c r="DM70" s="62">
        <v>140</v>
      </c>
      <c r="DN70" s="62">
        <v>140</v>
      </c>
      <c r="DO70" s="62">
        <v>140</v>
      </c>
      <c r="DP70" s="62">
        <v>140</v>
      </c>
    </row>
    <row r="71" s="51" customFormat="1" ht="15.75" customHeight="1">
      <c r="A71" s="52">
        <v>2000000</v>
      </c>
      <c r="B71" s="53" t="s">
        <v>157</v>
      </c>
      <c r="C71" s="75" t="s">
        <v>158</v>
      </c>
      <c r="D71" s="52">
        <v>2250000</v>
      </c>
      <c r="E71" s="54" t="s">
        <v>281</v>
      </c>
      <c r="F71" s="127" t="s">
        <v>282</v>
      </c>
      <c r="G71" s="55"/>
      <c r="H71" s="55"/>
      <c r="I71" s="53"/>
      <c r="J71" s="53"/>
      <c r="L71" s="53" t="s">
        <v>288</v>
      </c>
      <c r="M71" s="54" t="s">
        <v>281</v>
      </c>
      <c r="N71" s="131"/>
      <c r="O71" s="131"/>
      <c r="T71" s="57"/>
      <c r="U71" s="51" t="s">
        <v>180</v>
      </c>
      <c r="V71" s="51" t="s">
        <v>285</v>
      </c>
      <c r="W71" s="51" t="s">
        <v>204</v>
      </c>
      <c r="X71" s="57" t="s">
        <v>167</v>
      </c>
      <c r="Y71" s="51" t="s">
        <v>183</v>
      </c>
      <c r="Z71" s="51" t="s">
        <v>169</v>
      </c>
      <c r="AD71" s="51" t="s">
        <v>170</v>
      </c>
      <c r="AE71" s="51" t="s">
        <v>171</v>
      </c>
      <c r="AF71" s="51" t="s">
        <v>171</v>
      </c>
      <c r="AG71" s="57" t="s">
        <v>287</v>
      </c>
      <c r="AH71" s="57"/>
      <c r="AI71" s="57"/>
      <c r="AJ71" s="57"/>
      <c r="AK71" s="57"/>
      <c r="AN71" s="106" t="s">
        <v>174</v>
      </c>
      <c r="AO71" s="51">
        <v>500</v>
      </c>
      <c r="AP71" s="60">
        <v>100000</v>
      </c>
      <c r="AQ71" s="64">
        <v>17</v>
      </c>
      <c r="AR71" s="51" t="s">
        <v>92</v>
      </c>
      <c r="AS71" s="62">
        <f t="shared" si="12"/>
        <v>639.92999999999995</v>
      </c>
      <c r="AT71" s="62">
        <f t="shared" si="13"/>
        <v>235.35750000000002</v>
      </c>
      <c r="AU71" s="63">
        <v>7</v>
      </c>
      <c r="AV71" s="63">
        <v>5</v>
      </c>
      <c r="AW71" s="64">
        <v>24</v>
      </c>
      <c r="AX71" s="62">
        <f t="shared" si="14"/>
        <v>716.49000000000001</v>
      </c>
      <c r="AY71" s="62">
        <f t="shared" si="15"/>
        <v>220.47750000000002</v>
      </c>
      <c r="AZ71" s="63">
        <v>7</v>
      </c>
      <c r="BA71" s="63">
        <v>5</v>
      </c>
      <c r="BB71" s="64">
        <v>20</v>
      </c>
      <c r="BC71" s="62">
        <f t="shared" si="16"/>
        <v>883.76999999999998</v>
      </c>
      <c r="BD71" s="62">
        <f t="shared" si="17"/>
        <v>209.67750000000001</v>
      </c>
      <c r="BE71" s="63">
        <v>8</v>
      </c>
      <c r="BF71" s="63">
        <v>6</v>
      </c>
      <c r="BG71" s="64">
        <v>18</v>
      </c>
      <c r="BH71" s="62">
        <f t="shared" si="18"/>
        <v>1365.21</v>
      </c>
      <c r="BI71" s="62">
        <f t="shared" si="19"/>
        <v>208.7175</v>
      </c>
      <c r="BJ71" s="63">
        <v>12</v>
      </c>
      <c r="BK71" s="63">
        <v>9</v>
      </c>
      <c r="BL71" s="64">
        <v>15</v>
      </c>
      <c r="BM71" s="52">
        <v>1000</v>
      </c>
      <c r="BN71" s="62">
        <f t="shared" si="20"/>
        <v>875.28749999999991</v>
      </c>
      <c r="BO71" s="52">
        <v>5100</v>
      </c>
      <c r="BP71" s="62">
        <f t="shared" si="21"/>
        <v>1840.92525</v>
      </c>
      <c r="BQ71" s="52">
        <v>50000</v>
      </c>
      <c r="BR71" s="62">
        <f t="shared" si="22"/>
        <v>11367.645</v>
      </c>
      <c r="BS71" s="52">
        <v>60000</v>
      </c>
      <c r="BT71" s="62">
        <f t="shared" si="23"/>
        <v>13888.259999999998</v>
      </c>
      <c r="BU71" s="62">
        <v>159.40000000000001</v>
      </c>
      <c r="BV71" s="62">
        <v>51.43</v>
      </c>
      <c r="BY71" s="62">
        <v>159.40000000000001</v>
      </c>
      <c r="BZ71" s="62">
        <v>51.43</v>
      </c>
      <c r="CC71" s="62">
        <v>159.40000000000001</v>
      </c>
      <c r="CD71" s="62">
        <v>51.43</v>
      </c>
      <c r="CG71" s="62">
        <v>159.40000000000001</v>
      </c>
      <c r="CH71" s="62">
        <v>51.43</v>
      </c>
      <c r="CK71" s="62">
        <v>125</v>
      </c>
      <c r="CL71" s="62">
        <v>125</v>
      </c>
      <c r="CM71" s="62">
        <v>125</v>
      </c>
      <c r="CN71" s="62">
        <v>125</v>
      </c>
      <c r="CO71" s="62">
        <v>125</v>
      </c>
      <c r="CP71" s="62">
        <v>125</v>
      </c>
      <c r="CQ71" s="62">
        <v>125</v>
      </c>
      <c r="CR71" s="62">
        <v>125</v>
      </c>
      <c r="CS71" s="130">
        <v>117.2</v>
      </c>
      <c r="CT71" s="130">
        <v>49.850000000000001</v>
      </c>
      <c r="CU71" s="51" t="s">
        <v>175</v>
      </c>
      <c r="CW71" s="130">
        <v>149.09999999999999</v>
      </c>
      <c r="CX71" s="130">
        <v>43.649999999999999</v>
      </c>
      <c r="CY71" s="51" t="s">
        <v>175</v>
      </c>
      <c r="DA71" s="130">
        <v>218.80000000000001</v>
      </c>
      <c r="DB71" s="130">
        <v>39.149999999999999</v>
      </c>
      <c r="DC71" s="51" t="s">
        <v>175</v>
      </c>
      <c r="DE71" s="130">
        <v>419.39999999999998</v>
      </c>
      <c r="DF71" s="130">
        <v>38.75</v>
      </c>
      <c r="DG71" s="51" t="s">
        <v>175</v>
      </c>
      <c r="DI71" s="62">
        <v>140</v>
      </c>
      <c r="DJ71" s="62">
        <v>140</v>
      </c>
      <c r="DK71" s="62">
        <v>140</v>
      </c>
      <c r="DL71" s="62">
        <v>140</v>
      </c>
      <c r="DM71" s="62">
        <v>140</v>
      </c>
      <c r="DN71" s="62">
        <v>140</v>
      </c>
      <c r="DO71" s="62">
        <v>140</v>
      </c>
      <c r="DP71" s="62">
        <v>140</v>
      </c>
    </row>
    <row r="72" s="76" customFormat="1" ht="15.75" customHeight="1">
      <c r="A72" s="71">
        <v>2000000</v>
      </c>
      <c r="B72" s="72" t="s">
        <v>157</v>
      </c>
      <c r="C72" s="75" t="s">
        <v>158</v>
      </c>
      <c r="D72" s="71">
        <v>2260000</v>
      </c>
      <c r="E72" s="73" t="s">
        <v>289</v>
      </c>
      <c r="F72" s="108" t="s">
        <v>290</v>
      </c>
      <c r="G72" s="74"/>
      <c r="H72" s="74"/>
      <c r="I72" s="72"/>
      <c r="J72" s="72"/>
      <c r="L72" s="72" t="s">
        <v>291</v>
      </c>
      <c r="M72" s="73" t="s">
        <v>289</v>
      </c>
      <c r="N72" s="109" t="s">
        <v>292</v>
      </c>
      <c r="O72" s="109"/>
      <c r="T72" s="77"/>
      <c r="U72" s="76" t="s">
        <v>267</v>
      </c>
      <c r="V72" s="76" t="s">
        <v>293</v>
      </c>
      <c r="W72" s="76" t="s">
        <v>193</v>
      </c>
      <c r="X72" s="77" t="s">
        <v>167</v>
      </c>
      <c r="Y72" s="76" t="s">
        <v>183</v>
      </c>
      <c r="Z72" s="76" t="s">
        <v>169</v>
      </c>
      <c r="AD72" s="76" t="s">
        <v>170</v>
      </c>
      <c r="AE72" s="148" t="s">
        <v>171</v>
      </c>
      <c r="AF72" s="148" t="s">
        <v>171</v>
      </c>
      <c r="AG72" s="77" t="s">
        <v>294</v>
      </c>
      <c r="AH72" s="77"/>
      <c r="AI72" s="77"/>
      <c r="AJ72" s="77"/>
      <c r="AK72" s="77"/>
      <c r="AL72" s="76" t="s">
        <v>270</v>
      </c>
      <c r="AN72" s="99" t="s">
        <v>174</v>
      </c>
      <c r="AO72" s="148">
        <v>500</v>
      </c>
      <c r="AP72" s="82">
        <v>100000</v>
      </c>
      <c r="AQ72" s="86">
        <v>17</v>
      </c>
      <c r="AR72" s="151" t="s">
        <v>147</v>
      </c>
      <c r="AS72" s="84">
        <f t="shared" si="12"/>
        <v>442.5</v>
      </c>
      <c r="AT72" s="84">
        <f t="shared" si="13"/>
        <v>229.47750000000002</v>
      </c>
      <c r="AU72" s="85">
        <v>7</v>
      </c>
      <c r="AV72" s="85">
        <v>5</v>
      </c>
      <c r="AW72" s="86">
        <v>24</v>
      </c>
      <c r="AX72" s="84">
        <f t="shared" si="14"/>
        <v>442.5</v>
      </c>
      <c r="AY72" s="84">
        <f t="shared" si="15"/>
        <v>229.7175</v>
      </c>
      <c r="AZ72" s="85">
        <v>7</v>
      </c>
      <c r="BA72" s="85">
        <v>5</v>
      </c>
      <c r="BB72" s="86">
        <v>20</v>
      </c>
      <c r="BC72" s="84">
        <f t="shared" si="16"/>
        <v>922.5</v>
      </c>
      <c r="BD72" s="84">
        <f t="shared" si="17"/>
        <v>204.75749999999999</v>
      </c>
      <c r="BE72" s="85">
        <v>8</v>
      </c>
      <c r="BF72" s="85">
        <v>6</v>
      </c>
      <c r="BG72" s="86">
        <v>18</v>
      </c>
      <c r="BH72" s="84">
        <f t="shared" si="18"/>
        <v>1282.5</v>
      </c>
      <c r="BI72" s="84">
        <f t="shared" si="19"/>
        <v>203.3175</v>
      </c>
      <c r="BJ72" s="85">
        <v>12</v>
      </c>
      <c r="BK72" s="85">
        <v>9</v>
      </c>
      <c r="BL72" s="86">
        <v>15</v>
      </c>
      <c r="BM72" s="71">
        <v>5000</v>
      </c>
      <c r="BN72" s="84">
        <f t="shared" si="20"/>
        <v>1589.8875</v>
      </c>
      <c r="BO72" s="71">
        <v>5100</v>
      </c>
      <c r="BP72" s="84">
        <f t="shared" si="21"/>
        <v>1614.05925</v>
      </c>
      <c r="BQ72" s="71">
        <v>50000</v>
      </c>
      <c r="BR72" s="84">
        <f t="shared" si="22"/>
        <v>11160.375</v>
      </c>
      <c r="BS72" s="71">
        <v>51000</v>
      </c>
      <c r="BT72" s="84">
        <f t="shared" si="23"/>
        <v>11651.692499999999</v>
      </c>
      <c r="BU72" s="84">
        <v>90</v>
      </c>
      <c r="BV72" s="84">
        <v>45.030000000000001</v>
      </c>
      <c r="BY72" s="84">
        <v>90</v>
      </c>
      <c r="BZ72" s="84">
        <v>45.030000000000001</v>
      </c>
      <c r="CC72" s="84">
        <v>90</v>
      </c>
      <c r="CD72" s="84">
        <v>45.030000000000001</v>
      </c>
      <c r="CG72" s="84">
        <v>90</v>
      </c>
      <c r="CH72" s="84">
        <v>45.030000000000001</v>
      </c>
      <c r="CK72" s="84">
        <v>125</v>
      </c>
      <c r="CL72" s="84">
        <v>125</v>
      </c>
      <c r="CM72" s="84">
        <v>125</v>
      </c>
      <c r="CN72" s="84">
        <v>125</v>
      </c>
      <c r="CO72" s="84">
        <v>125</v>
      </c>
      <c r="CP72" s="84">
        <v>125</v>
      </c>
      <c r="CQ72" s="84">
        <v>125</v>
      </c>
      <c r="CR72" s="84">
        <v>125</v>
      </c>
      <c r="CS72" s="112">
        <v>100</v>
      </c>
      <c r="CT72" s="112">
        <v>53.399999999999999</v>
      </c>
      <c r="CU72" s="76" t="s">
        <v>175</v>
      </c>
      <c r="CW72" s="112">
        <v>100</v>
      </c>
      <c r="CX72" s="112">
        <v>53.5</v>
      </c>
      <c r="CY72" s="76" t="s">
        <v>175</v>
      </c>
      <c r="DA72" s="112">
        <v>300</v>
      </c>
      <c r="DB72" s="112">
        <v>43.100000000000001</v>
      </c>
      <c r="DC72" s="76" t="s">
        <v>175</v>
      </c>
      <c r="DE72" s="112">
        <v>450</v>
      </c>
      <c r="DF72" s="112">
        <v>42.5</v>
      </c>
      <c r="DG72" s="76" t="s">
        <v>175</v>
      </c>
      <c r="DI72" s="84">
        <v>140</v>
      </c>
      <c r="DJ72" s="84">
        <v>140</v>
      </c>
      <c r="DK72" s="84">
        <v>140</v>
      </c>
      <c r="DL72" s="84">
        <v>140</v>
      </c>
      <c r="DM72" s="84">
        <v>140</v>
      </c>
      <c r="DN72" s="84">
        <v>140</v>
      </c>
      <c r="DO72" s="84">
        <v>140</v>
      </c>
      <c r="DP72" s="84">
        <v>140</v>
      </c>
    </row>
    <row r="73" s="51" customFormat="1" ht="69.75" customHeight="1">
      <c r="A73" s="52">
        <v>2000000</v>
      </c>
      <c r="B73" s="53" t="s">
        <v>157</v>
      </c>
      <c r="C73" s="75" t="s">
        <v>158</v>
      </c>
      <c r="D73" s="52">
        <v>2270000</v>
      </c>
      <c r="E73" s="54" t="s">
        <v>295</v>
      </c>
      <c r="F73" s="127" t="s">
        <v>296</v>
      </c>
      <c r="G73" s="55"/>
      <c r="H73" s="55"/>
      <c r="I73" s="53"/>
      <c r="J73" s="53"/>
      <c r="L73" s="53" t="s">
        <v>297</v>
      </c>
      <c r="M73" s="54" t="s">
        <v>295</v>
      </c>
      <c r="N73" s="131" t="s">
        <v>298</v>
      </c>
      <c r="O73" s="131"/>
      <c r="T73" s="57"/>
      <c r="U73" s="51" t="s">
        <v>164</v>
      </c>
      <c r="W73" s="51" t="s">
        <v>299</v>
      </c>
      <c r="X73" s="57" t="s">
        <v>167</v>
      </c>
      <c r="Y73" s="51" t="s">
        <v>300</v>
      </c>
      <c r="Z73" s="51" t="s">
        <v>169</v>
      </c>
      <c r="AA73" s="51" t="s">
        <v>167</v>
      </c>
      <c r="AB73" s="51" t="s">
        <v>168</v>
      </c>
      <c r="AC73" s="51" t="s">
        <v>301</v>
      </c>
      <c r="AD73" s="51" t="s">
        <v>170</v>
      </c>
      <c r="AE73" s="154" t="s">
        <v>171</v>
      </c>
      <c r="AF73" s="154" t="s">
        <v>171</v>
      </c>
      <c r="AG73" s="57" t="s">
        <v>302</v>
      </c>
      <c r="AH73" s="57"/>
      <c r="AI73" s="57"/>
      <c r="AJ73" s="57"/>
      <c r="AK73" s="57"/>
      <c r="AL73" s="51" t="s">
        <v>270</v>
      </c>
      <c r="AN73" s="106" t="s">
        <v>174</v>
      </c>
      <c r="AO73" s="154">
        <v>500</v>
      </c>
      <c r="AP73" s="60">
        <v>20000</v>
      </c>
      <c r="AQ73" s="64">
        <v>19.600000000000001</v>
      </c>
      <c r="AR73" s="155" t="s">
        <v>92</v>
      </c>
      <c r="AS73" s="62">
        <f t="shared" si="12"/>
        <v>490.5</v>
      </c>
      <c r="AT73" s="62">
        <f t="shared" si="13"/>
        <v>307.71749999999997</v>
      </c>
      <c r="AU73" s="63">
        <v>8</v>
      </c>
      <c r="AV73" s="63">
        <v>6</v>
      </c>
      <c r="AW73" s="64">
        <v>33</v>
      </c>
      <c r="AX73" s="62">
        <f t="shared" si="14"/>
        <v>420.18000000000001</v>
      </c>
      <c r="AY73" s="62">
        <f t="shared" si="15"/>
        <v>288.51749999999998</v>
      </c>
      <c r="AZ73" s="63">
        <v>8</v>
      </c>
      <c r="BA73" s="63">
        <v>6</v>
      </c>
      <c r="BB73" s="64">
        <v>25</v>
      </c>
      <c r="BC73" s="62">
        <f t="shared" si="16"/>
        <v>693.77999999999997</v>
      </c>
      <c r="BD73" s="62">
        <f t="shared" si="17"/>
        <v>298.11750000000001</v>
      </c>
      <c r="BE73" s="63">
        <v>11</v>
      </c>
      <c r="BF73" s="63">
        <v>9</v>
      </c>
      <c r="BG73" s="64">
        <v>23</v>
      </c>
      <c r="BH73" s="62">
        <f t="shared" si="18"/>
        <v>2288.8199999999997</v>
      </c>
      <c r="BI73" s="62">
        <f t="shared" si="19"/>
        <v>295.71749999999997</v>
      </c>
      <c r="BJ73" s="63">
        <v>12</v>
      </c>
      <c r="BK73" s="63"/>
      <c r="BL73" s="64"/>
      <c r="BM73" s="52">
        <v>5000</v>
      </c>
      <c r="BN73" s="62">
        <f t="shared" si="20"/>
        <v>2029.0874999999999</v>
      </c>
      <c r="BO73" s="52">
        <v>5100</v>
      </c>
      <c r="BP73" s="62">
        <f t="shared" si="21"/>
        <v>1891.61925</v>
      </c>
      <c r="BQ73" s="52">
        <v>50000</v>
      </c>
      <c r="BR73" s="62">
        <f t="shared" si="22"/>
        <v>15599.655000000001</v>
      </c>
      <c r="BS73" s="52">
        <v>51000</v>
      </c>
      <c r="BT73" s="62">
        <f t="shared" si="23"/>
        <v>17370.412499999999</v>
      </c>
      <c r="BU73" s="62">
        <v>90</v>
      </c>
      <c r="BV73" s="62">
        <v>45.030000000000001</v>
      </c>
      <c r="BY73" s="62">
        <v>90</v>
      </c>
      <c r="BZ73" s="62">
        <v>45.030000000000001</v>
      </c>
      <c r="CC73" s="62">
        <v>90</v>
      </c>
      <c r="CD73" s="62">
        <v>45.030000000000001</v>
      </c>
      <c r="CG73" s="62">
        <v>90</v>
      </c>
      <c r="CH73" s="62">
        <v>45.030000000000001</v>
      </c>
      <c r="CK73" s="62">
        <v>125</v>
      </c>
      <c r="CL73" s="62">
        <v>125</v>
      </c>
      <c r="CM73" s="62">
        <v>125</v>
      </c>
      <c r="CN73" s="62">
        <v>125</v>
      </c>
      <c r="CO73" s="62">
        <v>125</v>
      </c>
      <c r="CP73" s="62">
        <v>125</v>
      </c>
      <c r="CQ73" s="62">
        <v>125</v>
      </c>
      <c r="CR73" s="62">
        <v>125</v>
      </c>
      <c r="CS73" s="130">
        <v>120</v>
      </c>
      <c r="CT73" s="130">
        <v>86</v>
      </c>
      <c r="CU73" s="51" t="s">
        <v>175</v>
      </c>
      <c r="CW73" s="130">
        <v>90.700000000000003</v>
      </c>
      <c r="CX73" s="130">
        <v>78</v>
      </c>
      <c r="CY73" s="51" t="s">
        <v>175</v>
      </c>
      <c r="DA73" s="130">
        <v>204.69999999999999</v>
      </c>
      <c r="DB73" s="130">
        <v>82</v>
      </c>
      <c r="DC73" s="51" t="s">
        <v>175</v>
      </c>
      <c r="DE73" s="130">
        <v>869.29999999999995</v>
      </c>
      <c r="DF73" s="130">
        <v>81</v>
      </c>
      <c r="DG73" s="51" t="s">
        <v>175</v>
      </c>
      <c r="DI73" s="62">
        <v>140</v>
      </c>
      <c r="DJ73" s="62">
        <v>140</v>
      </c>
      <c r="DK73" s="62">
        <v>140</v>
      </c>
      <c r="DL73" s="62">
        <v>140</v>
      </c>
      <c r="DM73" s="62">
        <v>140</v>
      </c>
      <c r="DN73" s="62">
        <v>140</v>
      </c>
      <c r="DO73" s="62">
        <v>140</v>
      </c>
      <c r="DP73" s="62">
        <v>140</v>
      </c>
    </row>
    <row r="74" s="138" customFormat="1" ht="15.75" customHeight="1">
      <c r="A74" s="133">
        <v>2000000</v>
      </c>
      <c r="B74" s="134" t="s">
        <v>157</v>
      </c>
      <c r="C74" s="75" t="s">
        <v>158</v>
      </c>
      <c r="D74" s="133">
        <v>2270000</v>
      </c>
      <c r="E74" s="156" t="s">
        <v>295</v>
      </c>
      <c r="F74" s="127" t="s">
        <v>296</v>
      </c>
      <c r="G74" s="135"/>
      <c r="H74" s="135"/>
      <c r="I74" s="134"/>
      <c r="J74" s="134"/>
      <c r="L74" s="134" t="s">
        <v>303</v>
      </c>
      <c r="M74" s="156" t="s">
        <v>295</v>
      </c>
      <c r="N74" s="157" t="s">
        <v>304</v>
      </c>
      <c r="O74" s="157"/>
      <c r="T74" s="139"/>
      <c r="U74" s="138" t="s">
        <v>164</v>
      </c>
      <c r="W74" s="138" t="s">
        <v>305</v>
      </c>
      <c r="X74" s="139" t="s">
        <v>167</v>
      </c>
      <c r="Y74" s="138" t="s">
        <v>300</v>
      </c>
      <c r="Z74" s="138" t="s">
        <v>169</v>
      </c>
      <c r="AA74" s="138" t="s">
        <v>167</v>
      </c>
      <c r="AB74" s="138" t="s">
        <v>168</v>
      </c>
      <c r="AC74" s="138" t="s">
        <v>301</v>
      </c>
      <c r="AD74" s="138" t="s">
        <v>170</v>
      </c>
      <c r="AE74" s="158" t="s">
        <v>171</v>
      </c>
      <c r="AF74" s="158" t="s">
        <v>171</v>
      </c>
      <c r="AG74" s="139" t="s">
        <v>302</v>
      </c>
      <c r="AH74" s="139"/>
      <c r="AI74" s="139"/>
      <c r="AJ74" s="139"/>
      <c r="AK74" s="139"/>
      <c r="AL74" s="138" t="s">
        <v>270</v>
      </c>
      <c r="AN74" s="140" t="s">
        <v>174</v>
      </c>
      <c r="AO74" s="158">
        <v>500</v>
      </c>
      <c r="AP74" s="60">
        <v>20000</v>
      </c>
      <c r="AQ74" s="142">
        <v>23.600000000000001</v>
      </c>
      <c r="AR74" s="158" t="s">
        <v>206</v>
      </c>
      <c r="AS74" s="132">
        <f t="shared" si="12"/>
        <v>571.5</v>
      </c>
      <c r="AT74" s="132">
        <f t="shared" si="13"/>
        <v>402.08249999999998</v>
      </c>
      <c r="AU74" s="141">
        <v>8</v>
      </c>
      <c r="AV74" s="141">
        <v>6</v>
      </c>
      <c r="AW74" s="142">
        <v>33</v>
      </c>
      <c r="AX74" s="132">
        <f t="shared" si="14"/>
        <v>501.89999999999998</v>
      </c>
      <c r="AY74" s="132">
        <f t="shared" si="15"/>
        <v>371.36250000000001</v>
      </c>
      <c r="AZ74" s="141">
        <v>8</v>
      </c>
      <c r="BA74" s="141">
        <v>6</v>
      </c>
      <c r="BB74" s="142">
        <v>25</v>
      </c>
      <c r="BC74" s="132">
        <f t="shared" si="16"/>
        <v>415.5</v>
      </c>
      <c r="BD74" s="132">
        <f t="shared" si="17"/>
        <v>405.20250000000004</v>
      </c>
      <c r="BE74" s="141">
        <v>11</v>
      </c>
      <c r="BF74" s="141">
        <v>9</v>
      </c>
      <c r="BG74" s="142">
        <v>23</v>
      </c>
      <c r="BH74" s="132">
        <f t="shared" si="18"/>
        <v>1207.5</v>
      </c>
      <c r="BI74" s="132">
        <f t="shared" si="19"/>
        <v>400.40250000000003</v>
      </c>
      <c r="BJ74" s="141">
        <v>12</v>
      </c>
      <c r="BK74" s="141"/>
      <c r="BL74" s="142"/>
      <c r="BM74" s="133">
        <v>5000</v>
      </c>
      <c r="BN74" s="132">
        <f t="shared" si="20"/>
        <v>2581.9124999999999</v>
      </c>
      <c r="BO74" s="133">
        <v>5100</v>
      </c>
      <c r="BP74" s="132">
        <f t="shared" si="21"/>
        <v>2395.8487500000001</v>
      </c>
      <c r="BQ74" s="133">
        <v>50000</v>
      </c>
      <c r="BR74" s="132">
        <f t="shared" si="22"/>
        <v>20675.625000000004</v>
      </c>
      <c r="BS74" s="133">
        <v>51000</v>
      </c>
      <c r="BT74" s="132">
        <f t="shared" si="23"/>
        <v>21628.0275</v>
      </c>
      <c r="BU74" s="132">
        <v>110</v>
      </c>
      <c r="BV74" s="132">
        <v>71.290000000000006</v>
      </c>
      <c r="BY74" s="132">
        <v>110</v>
      </c>
      <c r="BZ74" s="132">
        <v>71.290000000000006</v>
      </c>
      <c r="CC74" s="132">
        <v>110</v>
      </c>
      <c r="CD74" s="132">
        <v>71.290000000000006</v>
      </c>
      <c r="CG74" s="132">
        <v>110</v>
      </c>
      <c r="CH74" s="132">
        <v>71.290000000000006</v>
      </c>
      <c r="CK74" s="132">
        <v>125</v>
      </c>
      <c r="CL74" s="132">
        <v>125</v>
      </c>
      <c r="CM74" s="132">
        <v>125</v>
      </c>
      <c r="CN74" s="132">
        <v>125</v>
      </c>
      <c r="CO74" s="132">
        <v>125</v>
      </c>
      <c r="CP74" s="132">
        <v>125</v>
      </c>
      <c r="CQ74" s="132">
        <v>125</v>
      </c>
      <c r="CR74" s="132">
        <v>125</v>
      </c>
      <c r="CS74" s="159">
        <v>135</v>
      </c>
      <c r="CT74" s="159">
        <v>100.7</v>
      </c>
      <c r="CU74" s="138" t="s">
        <v>175</v>
      </c>
      <c r="CW74" s="159">
        <v>106</v>
      </c>
      <c r="CX74" s="159">
        <v>87.900000000000006</v>
      </c>
      <c r="CY74" s="138" t="s">
        <v>175</v>
      </c>
      <c r="DA74" s="159">
        <v>70</v>
      </c>
      <c r="DB74" s="159">
        <v>102</v>
      </c>
      <c r="DC74" s="138" t="s">
        <v>175</v>
      </c>
      <c r="DE74" s="159">
        <v>400</v>
      </c>
      <c r="DF74" s="159">
        <v>100</v>
      </c>
      <c r="DG74" s="138" t="s">
        <v>175</v>
      </c>
      <c r="DI74" s="132">
        <v>140</v>
      </c>
      <c r="DJ74" s="132">
        <v>140</v>
      </c>
      <c r="DK74" s="132">
        <v>140</v>
      </c>
      <c r="DL74" s="132">
        <v>140</v>
      </c>
      <c r="DM74" s="132">
        <v>140</v>
      </c>
      <c r="DN74" s="132">
        <v>140</v>
      </c>
      <c r="DO74" s="132">
        <v>140</v>
      </c>
      <c r="DP74" s="132">
        <v>140</v>
      </c>
    </row>
    <row r="75" s="51" customFormat="1" ht="15.75" customHeight="1">
      <c r="A75" s="52">
        <v>2000000</v>
      </c>
      <c r="B75" s="53" t="s">
        <v>157</v>
      </c>
      <c r="C75" s="75" t="s">
        <v>158</v>
      </c>
      <c r="D75" s="52">
        <v>2900000</v>
      </c>
      <c r="E75" s="127" t="s">
        <v>306</v>
      </c>
      <c r="F75" s="127" t="s">
        <v>307</v>
      </c>
      <c r="G75" s="55"/>
      <c r="H75" s="55"/>
      <c r="I75" s="53"/>
      <c r="J75" s="53"/>
      <c r="L75" s="53" t="s">
        <v>308</v>
      </c>
      <c r="M75" s="57" t="s">
        <v>159</v>
      </c>
      <c r="N75" s="131" t="s">
        <v>179</v>
      </c>
      <c r="O75" s="160" t="s">
        <v>163</v>
      </c>
      <c r="T75" s="57"/>
      <c r="U75" s="51" t="s">
        <v>180</v>
      </c>
      <c r="V75" s="51" t="s">
        <v>181</v>
      </c>
      <c r="W75" s="51" t="s">
        <v>182</v>
      </c>
      <c r="X75" s="57" t="s">
        <v>167</v>
      </c>
      <c r="Y75" s="51" t="s">
        <v>183</v>
      </c>
      <c r="Z75" s="51" t="s">
        <v>169</v>
      </c>
      <c r="AD75" s="51" t="s">
        <v>170</v>
      </c>
      <c r="AE75" s="51" t="s">
        <v>171</v>
      </c>
      <c r="AF75" s="51" t="s">
        <v>171</v>
      </c>
      <c r="AG75" s="57" t="s">
        <v>184</v>
      </c>
      <c r="AH75" s="57"/>
      <c r="AI75" s="57"/>
      <c r="AJ75" s="57"/>
      <c r="AK75" s="57"/>
      <c r="AN75" s="106" t="s">
        <v>174</v>
      </c>
      <c r="AO75" s="51">
        <v>500</v>
      </c>
      <c r="AP75" s="60">
        <v>100000</v>
      </c>
      <c r="AQ75" s="64">
        <v>9</v>
      </c>
      <c r="AR75" s="51" t="s">
        <v>92</v>
      </c>
      <c r="AS75" s="62">
        <f t="shared" si="12"/>
        <v>275.69999999999999</v>
      </c>
      <c r="AT75" s="62">
        <f t="shared" si="13"/>
        <v>157.47749999999999</v>
      </c>
      <c r="AU75" s="63">
        <v>7</v>
      </c>
      <c r="AV75" s="63">
        <v>5</v>
      </c>
      <c r="AW75" s="64">
        <v>24</v>
      </c>
      <c r="AX75" s="62">
        <f t="shared" si="14"/>
        <v>280.5</v>
      </c>
      <c r="AY75" s="62">
        <f t="shared" si="15"/>
        <v>151.23749999999998</v>
      </c>
      <c r="AZ75" s="63">
        <v>7</v>
      </c>
      <c r="BA75" s="63">
        <v>5</v>
      </c>
      <c r="BB75" s="64">
        <v>15</v>
      </c>
      <c r="BC75" s="62">
        <f t="shared" si="16"/>
        <v>841.04999999999995</v>
      </c>
      <c r="BD75" s="62">
        <f t="shared" si="17"/>
        <v>102.35250000000001</v>
      </c>
      <c r="BE75" s="63">
        <v>8</v>
      </c>
      <c r="BF75" s="63">
        <v>6</v>
      </c>
      <c r="BG75" s="64">
        <v>12</v>
      </c>
      <c r="BH75" s="62">
        <f t="shared" si="18"/>
        <v>1132.1700000000001</v>
      </c>
      <c r="BI75" s="62">
        <f t="shared" si="19"/>
        <v>101.87249999999999</v>
      </c>
      <c r="BJ75" s="63">
        <v>12</v>
      </c>
      <c r="BK75" s="63">
        <v>9</v>
      </c>
      <c r="BL75" s="64">
        <v>14</v>
      </c>
      <c r="BM75" s="52">
        <v>5000</v>
      </c>
      <c r="BN75" s="62">
        <f t="shared" si="20"/>
        <v>1063.0875000000001</v>
      </c>
      <c r="BO75" s="52">
        <v>10000</v>
      </c>
      <c r="BP75" s="62">
        <f t="shared" si="21"/>
        <v>1792.8749999999998</v>
      </c>
      <c r="BQ75" s="52">
        <v>10000</v>
      </c>
      <c r="BR75" s="62">
        <f t="shared" si="22"/>
        <v>1864.575</v>
      </c>
      <c r="BS75" s="52">
        <v>51000</v>
      </c>
      <c r="BT75" s="62">
        <f t="shared" si="23"/>
        <v>6327.6674999999996</v>
      </c>
      <c r="BU75" s="62">
        <v>90</v>
      </c>
      <c r="BV75" s="62">
        <v>45.030000000000001</v>
      </c>
      <c r="BY75" s="62">
        <v>90</v>
      </c>
      <c r="BZ75" s="62">
        <v>45.030000000000001</v>
      </c>
      <c r="CC75" s="62">
        <v>305</v>
      </c>
      <c r="CD75" s="62">
        <v>24.050000000000001</v>
      </c>
      <c r="CG75" s="62">
        <v>305</v>
      </c>
      <c r="CH75" s="62">
        <v>24.050000000000001</v>
      </c>
      <c r="CK75" s="62">
        <v>125</v>
      </c>
      <c r="CL75" s="62">
        <v>125</v>
      </c>
      <c r="CM75" s="62">
        <v>125</v>
      </c>
      <c r="CN75" s="62">
        <v>125</v>
      </c>
      <c r="CO75" s="62">
        <v>125</v>
      </c>
      <c r="CP75" s="62">
        <v>125</v>
      </c>
      <c r="CQ75" s="62">
        <v>125</v>
      </c>
      <c r="CR75" s="62">
        <v>125</v>
      </c>
      <c r="CS75" s="130">
        <v>30.5</v>
      </c>
      <c r="CT75" s="130">
        <v>23.399999999999999</v>
      </c>
      <c r="CU75" s="51" t="s">
        <v>175</v>
      </c>
      <c r="CW75" s="130">
        <v>32.5</v>
      </c>
      <c r="CX75" s="130">
        <v>20.800000000000001</v>
      </c>
      <c r="CY75" s="51" t="s">
        <v>175</v>
      </c>
      <c r="DA75" s="130">
        <v>64.5</v>
      </c>
      <c r="DB75" s="130">
        <v>20.100000000000001</v>
      </c>
      <c r="DC75" s="51" t="s">
        <v>175</v>
      </c>
      <c r="DE75" s="130">
        <v>185.80000000000001</v>
      </c>
      <c r="DF75" s="130">
        <v>19.899999999999999</v>
      </c>
      <c r="DG75" s="51" t="s">
        <v>175</v>
      </c>
      <c r="DI75" s="62">
        <v>140</v>
      </c>
      <c r="DJ75" s="62">
        <v>140</v>
      </c>
      <c r="DK75" s="62">
        <v>140</v>
      </c>
      <c r="DL75" s="62">
        <v>140</v>
      </c>
      <c r="DM75" s="62">
        <v>140</v>
      </c>
      <c r="DN75" s="62">
        <v>140</v>
      </c>
      <c r="DO75" s="62">
        <v>140</v>
      </c>
      <c r="DP75" s="62">
        <v>140</v>
      </c>
    </row>
    <row r="76" s="76" customFormat="1" ht="15.75" customHeight="1">
      <c r="A76" s="71">
        <v>3000000</v>
      </c>
      <c r="B76" s="72" t="s">
        <v>309</v>
      </c>
      <c r="C76" s="73" t="s">
        <v>310</v>
      </c>
      <c r="D76" s="71">
        <v>3300000</v>
      </c>
      <c r="E76" s="73" t="s">
        <v>311</v>
      </c>
      <c r="F76" s="74"/>
      <c r="G76" s="74"/>
      <c r="H76" s="74"/>
      <c r="I76" s="72"/>
      <c r="J76" s="72"/>
      <c r="L76" s="72" t="s">
        <v>312</v>
      </c>
      <c r="M76" s="77" t="s">
        <v>311</v>
      </c>
      <c r="N76" s="77" t="s">
        <v>313</v>
      </c>
      <c r="O76" s="77"/>
      <c r="T76" s="77"/>
      <c r="U76" s="76" t="s">
        <v>314</v>
      </c>
      <c r="W76" s="76" t="s">
        <v>315</v>
      </c>
      <c r="X76" s="77" t="s">
        <v>316</v>
      </c>
      <c r="AD76" s="76" t="s">
        <v>170</v>
      </c>
      <c r="AE76" s="76" t="s">
        <v>171</v>
      </c>
      <c r="AF76" s="76" t="s">
        <v>171</v>
      </c>
      <c r="AG76" s="77"/>
      <c r="AH76" s="77"/>
      <c r="AI76" s="77"/>
      <c r="AJ76" s="77"/>
      <c r="AK76" s="77"/>
      <c r="AM76" s="77" t="s">
        <v>173</v>
      </c>
      <c r="AN76" s="99" t="s">
        <v>174</v>
      </c>
      <c r="AO76" s="76">
        <v>500</v>
      </c>
      <c r="AP76" s="82">
        <v>100000</v>
      </c>
      <c r="AQ76" s="86">
        <v>5.4000000000000004</v>
      </c>
      <c r="AR76" s="76" t="s">
        <v>317</v>
      </c>
      <c r="AS76" s="84">
        <f t="shared" si="12"/>
        <v>244.80000000000001</v>
      </c>
      <c r="AT76" s="84">
        <f t="shared" si="13"/>
        <v>97.117500000000007</v>
      </c>
      <c r="AU76" s="85">
        <v>7</v>
      </c>
      <c r="AV76" s="85">
        <v>4</v>
      </c>
      <c r="AW76" s="86">
        <v>24</v>
      </c>
      <c r="AX76" s="84">
        <f t="shared" si="14"/>
        <v>254.63999999999999</v>
      </c>
      <c r="AY76" s="84">
        <f t="shared" si="15"/>
        <v>90.637500000000003</v>
      </c>
      <c r="AZ76" s="85">
        <v>7</v>
      </c>
      <c r="BA76" s="85">
        <v>4</v>
      </c>
      <c r="BB76" s="86">
        <v>15</v>
      </c>
      <c r="BC76" s="84">
        <f t="shared" si="16"/>
        <v>372</v>
      </c>
      <c r="BD76" s="84">
        <f t="shared" si="17"/>
        <v>90.157499999999999</v>
      </c>
      <c r="BE76" s="85">
        <v>8</v>
      </c>
      <c r="BF76" s="85">
        <v>5</v>
      </c>
      <c r="BG76" s="86">
        <v>13</v>
      </c>
      <c r="BH76" s="84">
        <f t="shared" si="18"/>
        <v>480</v>
      </c>
      <c r="BI76" s="84">
        <f t="shared" si="19"/>
        <v>89.917500000000004</v>
      </c>
      <c r="BJ76" s="85">
        <v>10</v>
      </c>
      <c r="BK76" s="85">
        <v>7</v>
      </c>
      <c r="BL76" s="86">
        <v>15</v>
      </c>
      <c r="BM76" s="71">
        <v>5000</v>
      </c>
      <c r="BN76" s="84">
        <f t="shared" si="20"/>
        <v>730.38750000000005</v>
      </c>
      <c r="BO76" s="71">
        <v>5100</v>
      </c>
      <c r="BP76" s="84">
        <f t="shared" si="21"/>
        <v>716.89125000000001</v>
      </c>
      <c r="BQ76" s="71">
        <v>50000</v>
      </c>
      <c r="BR76" s="84">
        <f t="shared" si="22"/>
        <v>4879.875</v>
      </c>
      <c r="BS76" s="71">
        <v>51000</v>
      </c>
      <c r="BT76" s="84">
        <f t="shared" si="23"/>
        <v>5065.7924999999996</v>
      </c>
      <c r="BU76" s="84">
        <v>80</v>
      </c>
      <c r="BV76" s="84">
        <v>23.75</v>
      </c>
      <c r="BY76" s="84">
        <v>80</v>
      </c>
      <c r="BZ76" s="84">
        <v>23.75</v>
      </c>
      <c r="CC76" s="84">
        <v>80</v>
      </c>
      <c r="CD76" s="84">
        <v>23.75</v>
      </c>
      <c r="CG76" s="84">
        <v>80</v>
      </c>
      <c r="CH76" s="84">
        <v>23.75</v>
      </c>
      <c r="CK76" s="84">
        <v>125</v>
      </c>
      <c r="CL76" s="84">
        <v>125</v>
      </c>
      <c r="CM76" s="84">
        <v>125</v>
      </c>
      <c r="CN76" s="84">
        <v>125</v>
      </c>
      <c r="CO76" s="84">
        <v>125</v>
      </c>
      <c r="CP76" s="84">
        <v>125</v>
      </c>
      <c r="CQ76" s="84">
        <v>125</v>
      </c>
      <c r="CR76" s="84">
        <v>125</v>
      </c>
      <c r="CS76" s="112">
        <v>27</v>
      </c>
      <c r="CT76" s="112">
        <v>18.199999999999999</v>
      </c>
      <c r="CU76" s="76" t="s">
        <v>175</v>
      </c>
      <c r="CW76" s="112">
        <v>31.100000000000001</v>
      </c>
      <c r="CX76" s="112">
        <v>15.5</v>
      </c>
      <c r="CY76" s="76" t="s">
        <v>175</v>
      </c>
      <c r="DA76" s="112">
        <v>80</v>
      </c>
      <c r="DB76" s="112">
        <v>15.300000000000001</v>
      </c>
      <c r="DC76" s="76" t="s">
        <v>175</v>
      </c>
      <c r="DE76" s="112">
        <v>125</v>
      </c>
      <c r="DF76" s="112">
        <v>15.199999999999999</v>
      </c>
      <c r="DG76" s="76" t="s">
        <v>175</v>
      </c>
      <c r="DI76" s="84">
        <v>140</v>
      </c>
      <c r="DJ76" s="84">
        <v>140</v>
      </c>
      <c r="DK76" s="84">
        <v>140</v>
      </c>
      <c r="DL76" s="84">
        <v>140</v>
      </c>
      <c r="DM76" s="84">
        <v>140</v>
      </c>
      <c r="DN76" s="84">
        <v>140</v>
      </c>
      <c r="DO76" s="84">
        <v>140</v>
      </c>
      <c r="DP76" s="84">
        <v>140</v>
      </c>
    </row>
    <row r="77" s="76" customFormat="1" ht="15.75" customHeight="1">
      <c r="A77" s="71">
        <v>3000000</v>
      </c>
      <c r="B77" s="72" t="s">
        <v>309</v>
      </c>
      <c r="C77" s="73" t="s">
        <v>310</v>
      </c>
      <c r="D77" s="71">
        <v>3300000</v>
      </c>
      <c r="E77" s="73" t="s">
        <v>311</v>
      </c>
      <c r="F77" s="74"/>
      <c r="G77" s="74"/>
      <c r="H77" s="74"/>
      <c r="I77" s="72"/>
      <c r="J77" s="72"/>
      <c r="L77" s="72" t="s">
        <v>318</v>
      </c>
      <c r="M77" s="77" t="s">
        <v>311</v>
      </c>
      <c r="N77" s="77"/>
      <c r="O77" s="77"/>
      <c r="T77" s="77"/>
      <c r="U77" s="76" t="s">
        <v>314</v>
      </c>
      <c r="W77" s="76" t="s">
        <v>315</v>
      </c>
      <c r="X77" s="77" t="s">
        <v>316</v>
      </c>
      <c r="AD77" s="76" t="s">
        <v>170</v>
      </c>
      <c r="AE77" s="76" t="s">
        <v>171</v>
      </c>
      <c r="AF77" s="76" t="s">
        <v>171</v>
      </c>
      <c r="AG77" s="77"/>
      <c r="AH77" s="77"/>
      <c r="AI77" s="77"/>
      <c r="AJ77" s="77"/>
      <c r="AK77" s="77"/>
      <c r="AM77" s="77" t="s">
        <v>319</v>
      </c>
      <c r="AN77" s="99" t="s">
        <v>174</v>
      </c>
      <c r="AO77" s="76">
        <v>500</v>
      </c>
      <c r="AP77" s="82">
        <v>100000</v>
      </c>
      <c r="AQ77" s="86">
        <v>5.4000000000000004</v>
      </c>
      <c r="AR77" s="76" t="s">
        <v>317</v>
      </c>
      <c r="AS77" s="84">
        <f t="shared" si="12"/>
        <v>264</v>
      </c>
      <c r="AT77" s="84">
        <f t="shared" si="13"/>
        <v>105.27749999999999</v>
      </c>
      <c r="AU77" s="85">
        <v>7</v>
      </c>
      <c r="AV77" s="85">
        <v>4</v>
      </c>
      <c r="AW77" s="86">
        <v>24</v>
      </c>
      <c r="AX77" s="84">
        <f t="shared" si="14"/>
        <v>295.19999999999999</v>
      </c>
      <c r="AY77" s="84">
        <f t="shared" si="15"/>
        <v>96.637500000000003</v>
      </c>
      <c r="AZ77" s="85">
        <v>7</v>
      </c>
      <c r="BA77" s="85">
        <v>4</v>
      </c>
      <c r="BB77" s="86">
        <v>15</v>
      </c>
      <c r="BC77" s="84">
        <f t="shared" si="16"/>
        <v>349.92000000000002</v>
      </c>
      <c r="BD77" s="84">
        <f t="shared" si="17"/>
        <v>101.4375</v>
      </c>
      <c r="BE77" s="85">
        <v>8</v>
      </c>
      <c r="BF77" s="85">
        <v>5</v>
      </c>
      <c r="BG77" s="86">
        <v>13</v>
      </c>
      <c r="BH77" s="84">
        <f t="shared" si="18"/>
        <v>532.32000000000005</v>
      </c>
      <c r="BI77" s="84">
        <f t="shared" si="19"/>
        <v>100.2375</v>
      </c>
      <c r="BJ77" s="85">
        <v>10</v>
      </c>
      <c r="BK77" s="85">
        <v>7</v>
      </c>
      <c r="BL77" s="86">
        <v>15</v>
      </c>
      <c r="BM77" s="71">
        <v>5000</v>
      </c>
      <c r="BN77" s="84">
        <f t="shared" si="20"/>
        <v>790.38750000000005</v>
      </c>
      <c r="BO77" s="71">
        <v>5100</v>
      </c>
      <c r="BP77" s="84">
        <f t="shared" si="21"/>
        <v>788.05124999999998</v>
      </c>
      <c r="BQ77" s="71">
        <v>50000</v>
      </c>
      <c r="BR77" s="84">
        <f t="shared" si="22"/>
        <v>5421.7950000000001</v>
      </c>
      <c r="BS77" s="71">
        <v>51000</v>
      </c>
      <c r="BT77" s="84">
        <f t="shared" si="23"/>
        <v>5644.4324999999999</v>
      </c>
      <c r="BU77" s="84">
        <v>80</v>
      </c>
      <c r="BV77" s="84">
        <v>23.75</v>
      </c>
      <c r="BY77" s="84">
        <v>80</v>
      </c>
      <c r="BZ77" s="84">
        <v>23.75</v>
      </c>
      <c r="CC77" s="84">
        <v>80</v>
      </c>
      <c r="CD77" s="84">
        <v>23.75</v>
      </c>
      <c r="CG77" s="84">
        <v>80</v>
      </c>
      <c r="CH77" s="84">
        <v>23.75</v>
      </c>
      <c r="CK77" s="84">
        <v>125</v>
      </c>
      <c r="CL77" s="84">
        <v>125</v>
      </c>
      <c r="CM77" s="84">
        <v>125</v>
      </c>
      <c r="CN77" s="84">
        <v>125</v>
      </c>
      <c r="CO77" s="84">
        <v>125</v>
      </c>
      <c r="CP77" s="84">
        <v>125</v>
      </c>
      <c r="CQ77" s="84">
        <v>125</v>
      </c>
      <c r="CR77" s="84">
        <v>125</v>
      </c>
      <c r="CS77" s="112">
        <v>35</v>
      </c>
      <c r="CT77" s="112">
        <v>21.600000000000001</v>
      </c>
      <c r="CU77" s="76" t="s">
        <v>175</v>
      </c>
      <c r="CW77" s="112">
        <v>48</v>
      </c>
      <c r="CX77" s="112">
        <v>18</v>
      </c>
      <c r="CY77" s="76" t="s">
        <v>175</v>
      </c>
      <c r="DA77" s="112">
        <v>70.799999999999997</v>
      </c>
      <c r="DB77" s="112">
        <v>20</v>
      </c>
      <c r="DC77" s="76" t="s">
        <v>175</v>
      </c>
      <c r="DE77" s="112">
        <v>146.80000000000001</v>
      </c>
      <c r="DF77" s="112">
        <v>19.5</v>
      </c>
      <c r="DG77" s="76" t="s">
        <v>175</v>
      </c>
      <c r="DI77" s="84">
        <v>140</v>
      </c>
      <c r="DJ77" s="84">
        <v>140</v>
      </c>
      <c r="DK77" s="84">
        <v>140</v>
      </c>
      <c r="DL77" s="84">
        <v>140</v>
      </c>
      <c r="DM77" s="84">
        <v>140</v>
      </c>
      <c r="DN77" s="84">
        <v>140</v>
      </c>
      <c r="DO77" s="84">
        <v>140</v>
      </c>
      <c r="DP77" s="84">
        <v>140</v>
      </c>
    </row>
    <row r="78" s="76" customFormat="1" ht="15.75" customHeight="1">
      <c r="A78" s="71">
        <v>3000000</v>
      </c>
      <c r="B78" s="72" t="s">
        <v>309</v>
      </c>
      <c r="C78" s="73" t="s">
        <v>310</v>
      </c>
      <c r="D78" s="71">
        <v>3300000</v>
      </c>
      <c r="E78" s="73" t="s">
        <v>311</v>
      </c>
      <c r="F78" s="74"/>
      <c r="G78" s="74"/>
      <c r="H78" s="74"/>
      <c r="I78" s="72"/>
      <c r="J78" s="72"/>
      <c r="L78" s="72" t="s">
        <v>320</v>
      </c>
      <c r="M78" s="77" t="s">
        <v>311</v>
      </c>
      <c r="N78" s="77"/>
      <c r="O78" s="77"/>
      <c r="T78" s="77"/>
      <c r="U78" s="76" t="s">
        <v>314</v>
      </c>
      <c r="W78" s="76" t="s">
        <v>315</v>
      </c>
      <c r="X78" s="77" t="s">
        <v>321</v>
      </c>
      <c r="AD78" s="76" t="s">
        <v>170</v>
      </c>
      <c r="AE78" s="76" t="s">
        <v>171</v>
      </c>
      <c r="AF78" s="76" t="s">
        <v>171</v>
      </c>
      <c r="AG78" s="77"/>
      <c r="AH78" s="77"/>
      <c r="AI78" s="77"/>
      <c r="AJ78" s="77"/>
      <c r="AK78" s="77"/>
      <c r="AM78" s="77" t="s">
        <v>173</v>
      </c>
      <c r="AN78" s="99" t="s">
        <v>174</v>
      </c>
      <c r="AO78" s="76">
        <v>500</v>
      </c>
      <c r="AP78" s="82">
        <v>100000</v>
      </c>
      <c r="AQ78" s="86">
        <v>6.2000000000000002</v>
      </c>
      <c r="AR78" s="76" t="s">
        <v>317</v>
      </c>
      <c r="AS78" s="84">
        <f t="shared" si="12"/>
        <v>253.44</v>
      </c>
      <c r="AT78" s="84">
        <f t="shared" si="13"/>
        <v>103.59750000000001</v>
      </c>
      <c r="AU78" s="85">
        <v>7</v>
      </c>
      <c r="AV78" s="85">
        <v>4</v>
      </c>
      <c r="AW78" s="86">
        <v>24</v>
      </c>
      <c r="AX78" s="84">
        <f t="shared" si="14"/>
        <v>276</v>
      </c>
      <c r="AY78" s="84">
        <f t="shared" si="15"/>
        <v>97.597500000000011</v>
      </c>
      <c r="AZ78" s="85">
        <v>7</v>
      </c>
      <c r="BA78" s="85">
        <v>4</v>
      </c>
      <c r="BB78" s="86">
        <v>15</v>
      </c>
      <c r="BC78" s="84">
        <f t="shared" si="16"/>
        <v>355.44</v>
      </c>
      <c r="BD78" s="84">
        <f t="shared" si="17"/>
        <v>97.117500000000007</v>
      </c>
      <c r="BE78" s="85">
        <v>8</v>
      </c>
      <c r="BF78" s="85">
        <v>5</v>
      </c>
      <c r="BG78" s="86">
        <v>13</v>
      </c>
      <c r="BH78" s="84">
        <f t="shared" si="18"/>
        <v>540</v>
      </c>
      <c r="BI78" s="84">
        <f t="shared" si="19"/>
        <v>96.637500000000003</v>
      </c>
      <c r="BJ78" s="85">
        <v>10</v>
      </c>
      <c r="BK78" s="85">
        <v>7</v>
      </c>
      <c r="BL78" s="86">
        <v>15</v>
      </c>
      <c r="BM78" s="71">
        <v>5000</v>
      </c>
      <c r="BN78" s="84">
        <f t="shared" si="20"/>
        <v>771.42750000000001</v>
      </c>
      <c r="BO78" s="71">
        <v>5100</v>
      </c>
      <c r="BP78" s="84">
        <f t="shared" si="21"/>
        <v>773.74725000000012</v>
      </c>
      <c r="BQ78" s="71">
        <v>50000</v>
      </c>
      <c r="BR78" s="84">
        <f t="shared" si="22"/>
        <v>5211.3149999999996</v>
      </c>
      <c r="BS78" s="71">
        <v>51000</v>
      </c>
      <c r="BT78" s="84">
        <f t="shared" si="23"/>
        <v>5468.5124999999998</v>
      </c>
      <c r="BU78" s="84">
        <v>80</v>
      </c>
      <c r="BV78" s="84">
        <v>23.75</v>
      </c>
      <c r="BY78" s="84">
        <v>80</v>
      </c>
      <c r="BZ78" s="84">
        <v>23.75</v>
      </c>
      <c r="CC78" s="84">
        <v>80</v>
      </c>
      <c r="CD78" s="84">
        <v>23.75</v>
      </c>
      <c r="CG78" s="84">
        <v>80</v>
      </c>
      <c r="CH78" s="84">
        <v>23.75</v>
      </c>
      <c r="CK78" s="84">
        <v>125</v>
      </c>
      <c r="CL78" s="84">
        <v>125</v>
      </c>
      <c r="CM78" s="84">
        <v>125</v>
      </c>
      <c r="CN78" s="84">
        <v>125</v>
      </c>
      <c r="CO78" s="84">
        <v>125</v>
      </c>
      <c r="CP78" s="84">
        <v>125</v>
      </c>
      <c r="CQ78" s="84">
        <v>125</v>
      </c>
      <c r="CR78" s="84">
        <v>125</v>
      </c>
      <c r="CS78" s="112">
        <v>30.600000000000001</v>
      </c>
      <c r="CT78" s="112">
        <v>20.899999999999999</v>
      </c>
      <c r="CU78" s="76" t="s">
        <v>175</v>
      </c>
      <c r="CW78" s="112">
        <v>40</v>
      </c>
      <c r="CX78" s="112">
        <v>18.399999999999999</v>
      </c>
      <c r="CY78" s="76" t="s">
        <v>175</v>
      </c>
      <c r="DA78" s="112">
        <v>73.099999999999994</v>
      </c>
      <c r="DB78" s="112">
        <v>18.199999999999999</v>
      </c>
      <c r="DC78" s="76" t="s">
        <v>175</v>
      </c>
      <c r="DE78" s="112">
        <v>150</v>
      </c>
      <c r="DF78" s="112">
        <v>18</v>
      </c>
      <c r="DG78" s="76" t="s">
        <v>175</v>
      </c>
      <c r="DI78" s="84">
        <v>140</v>
      </c>
      <c r="DJ78" s="84">
        <v>140</v>
      </c>
      <c r="DK78" s="84">
        <v>140</v>
      </c>
      <c r="DL78" s="84">
        <v>140</v>
      </c>
      <c r="DM78" s="84">
        <v>140</v>
      </c>
      <c r="DN78" s="84">
        <v>140</v>
      </c>
      <c r="DO78" s="84">
        <v>140</v>
      </c>
      <c r="DP78" s="84">
        <v>140</v>
      </c>
    </row>
    <row r="79" s="76" customFormat="1" ht="15.75" customHeight="1">
      <c r="A79" s="71">
        <v>3000000</v>
      </c>
      <c r="B79" s="72" t="s">
        <v>309</v>
      </c>
      <c r="C79" s="73" t="s">
        <v>310</v>
      </c>
      <c r="D79" s="71">
        <v>3300000</v>
      </c>
      <c r="E79" s="73" t="s">
        <v>311</v>
      </c>
      <c r="F79" s="74"/>
      <c r="G79" s="74"/>
      <c r="H79" s="74"/>
      <c r="I79" s="72"/>
      <c r="J79" s="72"/>
      <c r="L79" s="72" t="s">
        <v>322</v>
      </c>
      <c r="M79" s="77" t="s">
        <v>311</v>
      </c>
      <c r="N79" s="77"/>
      <c r="O79" s="77"/>
      <c r="T79" s="77"/>
      <c r="U79" s="76" t="s">
        <v>314</v>
      </c>
      <c r="W79" s="76" t="s">
        <v>315</v>
      </c>
      <c r="X79" s="77" t="s">
        <v>321</v>
      </c>
      <c r="AD79" s="76" t="s">
        <v>170</v>
      </c>
      <c r="AE79" s="76" t="s">
        <v>171</v>
      </c>
      <c r="AF79" s="76" t="s">
        <v>171</v>
      </c>
      <c r="AG79" s="77"/>
      <c r="AH79" s="77"/>
      <c r="AI79" s="77"/>
      <c r="AJ79" s="77"/>
      <c r="AK79" s="77"/>
      <c r="AM79" s="77" t="s">
        <v>319</v>
      </c>
      <c r="AN79" s="99" t="s">
        <v>174</v>
      </c>
      <c r="AO79" s="76">
        <v>500</v>
      </c>
      <c r="AP79" s="82">
        <v>100000</v>
      </c>
      <c r="AQ79" s="86">
        <v>6.2000000000000002</v>
      </c>
      <c r="AR79" s="76" t="s">
        <v>317</v>
      </c>
      <c r="AS79" s="84">
        <f t="shared" si="12"/>
        <v>276</v>
      </c>
      <c r="AT79" s="84">
        <f t="shared" si="13"/>
        <v>115.83750000000001</v>
      </c>
      <c r="AU79" s="85">
        <v>7</v>
      </c>
      <c r="AV79" s="85">
        <v>4</v>
      </c>
      <c r="AW79" s="86">
        <v>24</v>
      </c>
      <c r="AX79" s="84">
        <f t="shared" si="14"/>
        <v>304.80000000000001</v>
      </c>
      <c r="AY79" s="84">
        <f t="shared" si="15"/>
        <v>108.1575</v>
      </c>
      <c r="AZ79" s="85">
        <v>7</v>
      </c>
      <c r="BA79" s="85">
        <v>4</v>
      </c>
      <c r="BB79" s="86">
        <v>15</v>
      </c>
      <c r="BC79" s="84">
        <f t="shared" si="16"/>
        <v>420</v>
      </c>
      <c r="BD79" s="84">
        <f t="shared" si="17"/>
        <v>107.4375</v>
      </c>
      <c r="BE79" s="85">
        <v>8</v>
      </c>
      <c r="BF79" s="85">
        <v>5</v>
      </c>
      <c r="BG79" s="86">
        <v>13</v>
      </c>
      <c r="BH79" s="84">
        <f t="shared" si="18"/>
        <v>677.27999999999997</v>
      </c>
      <c r="BI79" s="84">
        <f t="shared" si="19"/>
        <v>106.2375</v>
      </c>
      <c r="BJ79" s="85">
        <v>10</v>
      </c>
      <c r="BK79" s="85">
        <v>7</v>
      </c>
      <c r="BL79" s="86">
        <v>15</v>
      </c>
      <c r="BM79" s="71">
        <v>5000</v>
      </c>
      <c r="BN79" s="84">
        <f t="shared" si="20"/>
        <v>855.1875</v>
      </c>
      <c r="BO79" s="71">
        <v>5100</v>
      </c>
      <c r="BP79" s="84">
        <f t="shared" si="21"/>
        <v>856.40325000000007</v>
      </c>
      <c r="BQ79" s="71">
        <v>50000</v>
      </c>
      <c r="BR79" s="84">
        <f t="shared" si="22"/>
        <v>5791.875</v>
      </c>
      <c r="BS79" s="71">
        <v>51000</v>
      </c>
      <c r="BT79" s="84">
        <f t="shared" si="23"/>
        <v>6095.3924999999999</v>
      </c>
      <c r="BU79" s="84">
        <v>80</v>
      </c>
      <c r="BV79" s="84">
        <v>23.75</v>
      </c>
      <c r="BY79" s="84">
        <v>80</v>
      </c>
      <c r="BZ79" s="84">
        <v>23.75</v>
      </c>
      <c r="CC79" s="84">
        <v>80</v>
      </c>
      <c r="CD79" s="84">
        <v>23.75</v>
      </c>
      <c r="CG79" s="84">
        <v>80</v>
      </c>
      <c r="CH79" s="84">
        <v>23.75</v>
      </c>
      <c r="CK79" s="84">
        <v>125</v>
      </c>
      <c r="CL79" s="84">
        <v>125</v>
      </c>
      <c r="CM79" s="84">
        <v>125</v>
      </c>
      <c r="CN79" s="84">
        <v>125</v>
      </c>
      <c r="CO79" s="84">
        <v>125</v>
      </c>
      <c r="CP79" s="84">
        <v>125</v>
      </c>
      <c r="CQ79" s="84">
        <v>125</v>
      </c>
      <c r="CR79" s="84">
        <v>125</v>
      </c>
      <c r="CS79" s="112">
        <v>40</v>
      </c>
      <c r="CT79" s="112">
        <v>26</v>
      </c>
      <c r="CU79" s="76" t="s">
        <v>175</v>
      </c>
      <c r="CW79" s="112">
        <v>52</v>
      </c>
      <c r="CX79" s="112">
        <v>22.800000000000001</v>
      </c>
      <c r="CY79" s="76" t="s">
        <v>175</v>
      </c>
      <c r="DA79" s="112">
        <v>100</v>
      </c>
      <c r="DB79" s="112">
        <v>22.5</v>
      </c>
      <c r="DC79" s="76" t="s">
        <v>175</v>
      </c>
      <c r="DE79" s="112">
        <v>207.19999999999999</v>
      </c>
      <c r="DF79" s="112">
        <v>22</v>
      </c>
      <c r="DG79" s="76" t="s">
        <v>175</v>
      </c>
      <c r="DI79" s="84">
        <v>140</v>
      </c>
      <c r="DJ79" s="84">
        <v>140</v>
      </c>
      <c r="DK79" s="84">
        <v>140</v>
      </c>
      <c r="DL79" s="84">
        <v>140</v>
      </c>
      <c r="DM79" s="84">
        <v>140</v>
      </c>
      <c r="DN79" s="84">
        <v>140</v>
      </c>
      <c r="DO79" s="84">
        <v>140</v>
      </c>
      <c r="DP79" s="84">
        <v>140</v>
      </c>
    </row>
    <row r="80" s="76" customFormat="1" ht="15.75" customHeight="1">
      <c r="A80" s="71">
        <v>3000000</v>
      </c>
      <c r="B80" s="72" t="s">
        <v>309</v>
      </c>
      <c r="C80" s="73" t="s">
        <v>310</v>
      </c>
      <c r="D80" s="71">
        <v>3300000</v>
      </c>
      <c r="E80" s="73" t="s">
        <v>311</v>
      </c>
      <c r="F80" s="74"/>
      <c r="G80" s="74"/>
      <c r="H80" s="74"/>
      <c r="I80" s="74"/>
      <c r="J80" s="74"/>
      <c r="K80" s="74"/>
      <c r="L80" s="72" t="s">
        <v>323</v>
      </c>
      <c r="M80" s="77" t="s">
        <v>311</v>
      </c>
      <c r="N80" s="77"/>
      <c r="O80" s="77"/>
      <c r="T80" s="77"/>
      <c r="U80" s="76" t="s">
        <v>314</v>
      </c>
      <c r="W80" s="76" t="s">
        <v>315</v>
      </c>
      <c r="X80" s="77" t="s">
        <v>324</v>
      </c>
      <c r="AD80" s="76" t="s">
        <v>170</v>
      </c>
      <c r="AE80" s="76" t="s">
        <v>171</v>
      </c>
      <c r="AF80" s="76" t="s">
        <v>171</v>
      </c>
      <c r="AG80" s="77"/>
      <c r="AH80" s="77"/>
      <c r="AI80" s="77"/>
      <c r="AJ80" s="77"/>
      <c r="AK80" s="77"/>
      <c r="AM80" s="77" t="s">
        <v>173</v>
      </c>
      <c r="AN80" s="99" t="s">
        <v>174</v>
      </c>
      <c r="AO80" s="76">
        <v>500</v>
      </c>
      <c r="AP80" s="82">
        <v>100000</v>
      </c>
      <c r="AQ80" s="86">
        <v>6.2000000000000002</v>
      </c>
      <c r="AR80" s="76" t="s">
        <v>317</v>
      </c>
      <c r="AS80" s="84">
        <f t="shared" si="12"/>
        <v>228.96000000000001</v>
      </c>
      <c r="AT80" s="84">
        <f t="shared" si="13"/>
        <v>93.757499999999993</v>
      </c>
      <c r="AU80" s="85">
        <v>7</v>
      </c>
      <c r="AV80" s="85">
        <v>4</v>
      </c>
      <c r="AW80" s="86">
        <v>24</v>
      </c>
      <c r="AX80" s="84">
        <f t="shared" si="14"/>
        <v>250.07999999999998</v>
      </c>
      <c r="AY80" s="84">
        <f t="shared" si="15"/>
        <v>88.717500000000001</v>
      </c>
      <c r="AZ80" s="85">
        <v>7</v>
      </c>
      <c r="BA80" s="85">
        <v>4</v>
      </c>
      <c r="BB80" s="86">
        <v>15</v>
      </c>
      <c r="BC80" s="84">
        <f t="shared" si="16"/>
        <v>343.92000000000002</v>
      </c>
      <c r="BD80" s="84">
        <f t="shared" si="17"/>
        <v>85.117500000000007</v>
      </c>
      <c r="BE80" s="85">
        <v>8</v>
      </c>
      <c r="BF80" s="85">
        <v>5</v>
      </c>
      <c r="BG80" s="86">
        <v>13</v>
      </c>
      <c r="BH80" s="84">
        <f t="shared" si="18"/>
        <v>534.72000000000003</v>
      </c>
      <c r="BI80" s="84">
        <f t="shared" si="19"/>
        <v>84.877499999999998</v>
      </c>
      <c r="BJ80" s="85">
        <v>10</v>
      </c>
      <c r="BK80" s="85">
        <v>7</v>
      </c>
      <c r="BL80" s="86">
        <v>15</v>
      </c>
      <c r="BM80" s="71">
        <v>5000</v>
      </c>
      <c r="BN80" s="84">
        <f t="shared" si="20"/>
        <v>697.74749999999995</v>
      </c>
      <c r="BO80" s="71">
        <v>5100</v>
      </c>
      <c r="BP80" s="84">
        <f t="shared" si="21"/>
        <v>702.53925000000004</v>
      </c>
      <c r="BQ80" s="71">
        <v>50000</v>
      </c>
      <c r="BR80" s="84">
        <f t="shared" si="22"/>
        <v>4599.7950000000001</v>
      </c>
      <c r="BS80" s="71">
        <v>51000</v>
      </c>
      <c r="BT80" s="84">
        <f t="shared" si="23"/>
        <v>4863.4724999999999</v>
      </c>
      <c r="BU80" s="84">
        <v>80</v>
      </c>
      <c r="BV80" s="84">
        <v>23.75</v>
      </c>
      <c r="BY80" s="84">
        <v>80</v>
      </c>
      <c r="BZ80" s="84">
        <v>23.75</v>
      </c>
      <c r="CC80" s="84">
        <v>80</v>
      </c>
      <c r="CD80" s="84">
        <v>23.75</v>
      </c>
      <c r="CG80" s="84">
        <v>80</v>
      </c>
      <c r="CH80" s="84">
        <v>23.75</v>
      </c>
      <c r="CK80" s="84">
        <v>125</v>
      </c>
      <c r="CL80" s="84">
        <v>125</v>
      </c>
      <c r="CM80" s="84">
        <v>125</v>
      </c>
      <c r="CN80" s="84">
        <v>125</v>
      </c>
      <c r="CO80" s="84">
        <v>125</v>
      </c>
      <c r="CP80" s="84">
        <v>125</v>
      </c>
      <c r="CQ80" s="84">
        <v>125</v>
      </c>
      <c r="CR80" s="84">
        <v>125</v>
      </c>
      <c r="CS80" s="112">
        <v>20.399999999999999</v>
      </c>
      <c r="CT80" s="112">
        <v>16.800000000000001</v>
      </c>
      <c r="CU80" s="76" t="s">
        <v>175</v>
      </c>
      <c r="CW80" s="112">
        <v>29.199999999999999</v>
      </c>
      <c r="CX80" s="112">
        <v>14.699999999999999</v>
      </c>
      <c r="CY80" s="76" t="s">
        <v>175</v>
      </c>
      <c r="DA80" s="112">
        <v>68.299999999999997</v>
      </c>
      <c r="DB80" s="112">
        <v>13.199999999999999</v>
      </c>
      <c r="DC80" s="76" t="s">
        <v>175</v>
      </c>
      <c r="DE80" s="112">
        <v>147.80000000000001</v>
      </c>
      <c r="DF80" s="112">
        <v>13.1</v>
      </c>
      <c r="DG80" s="76" t="s">
        <v>175</v>
      </c>
      <c r="DI80" s="84">
        <v>140</v>
      </c>
      <c r="DJ80" s="84">
        <v>140</v>
      </c>
      <c r="DK80" s="84">
        <v>140</v>
      </c>
      <c r="DL80" s="84">
        <v>140</v>
      </c>
      <c r="DM80" s="84">
        <v>140</v>
      </c>
      <c r="DN80" s="84">
        <v>140</v>
      </c>
      <c r="DO80" s="84">
        <v>140</v>
      </c>
      <c r="DP80" s="84">
        <v>140</v>
      </c>
    </row>
    <row r="81" s="76" customFormat="1" ht="15.75" customHeight="1">
      <c r="A81" s="71">
        <v>3000000</v>
      </c>
      <c r="B81" s="72" t="s">
        <v>309</v>
      </c>
      <c r="C81" s="73" t="s">
        <v>310</v>
      </c>
      <c r="D81" s="71">
        <v>3300000</v>
      </c>
      <c r="E81" s="73" t="s">
        <v>311</v>
      </c>
      <c r="F81" s="74"/>
      <c r="G81" s="74"/>
      <c r="H81" s="74"/>
      <c r="I81" s="74"/>
      <c r="J81" s="74"/>
      <c r="K81" s="74"/>
      <c r="L81" s="72" t="s">
        <v>325</v>
      </c>
      <c r="M81" s="77" t="s">
        <v>311</v>
      </c>
      <c r="N81" s="77"/>
      <c r="O81" s="77"/>
      <c r="T81" s="77"/>
      <c r="U81" s="76" t="s">
        <v>314</v>
      </c>
      <c r="W81" s="76" t="s">
        <v>315</v>
      </c>
      <c r="X81" s="77" t="s">
        <v>324</v>
      </c>
      <c r="AD81" s="76" t="s">
        <v>170</v>
      </c>
      <c r="AE81" s="76" t="s">
        <v>171</v>
      </c>
      <c r="AF81" s="76" t="s">
        <v>171</v>
      </c>
      <c r="AG81" s="77"/>
      <c r="AH81" s="77"/>
      <c r="AI81" s="77"/>
      <c r="AJ81" s="77"/>
      <c r="AK81" s="77"/>
      <c r="AM81" s="77" t="s">
        <v>319</v>
      </c>
      <c r="AN81" s="99" t="s">
        <v>174</v>
      </c>
      <c r="AO81" s="76">
        <v>500</v>
      </c>
      <c r="AP81" s="82">
        <v>100000</v>
      </c>
      <c r="AQ81" s="86">
        <v>6.2000000000000002</v>
      </c>
      <c r="AR81" s="76" t="s">
        <v>317</v>
      </c>
      <c r="AS81" s="84">
        <f t="shared" si="12"/>
        <v>240</v>
      </c>
      <c r="AT81" s="84">
        <f t="shared" si="13"/>
        <v>97.357500000000002</v>
      </c>
      <c r="AU81" s="85">
        <v>7</v>
      </c>
      <c r="AV81" s="85">
        <v>4</v>
      </c>
      <c r="AW81" s="86">
        <v>24</v>
      </c>
      <c r="AX81" s="84">
        <f t="shared" si="14"/>
        <v>247.92000000000002</v>
      </c>
      <c r="AY81" s="84">
        <f t="shared" si="15"/>
        <v>92.077499999999986</v>
      </c>
      <c r="AZ81" s="85">
        <v>7</v>
      </c>
      <c r="BA81" s="85">
        <v>4</v>
      </c>
      <c r="BB81" s="86">
        <v>15</v>
      </c>
      <c r="BC81" s="84">
        <f t="shared" si="16"/>
        <v>300</v>
      </c>
      <c r="BD81" s="84">
        <f t="shared" si="17"/>
        <v>93.277499999999989</v>
      </c>
      <c r="BE81" s="85">
        <v>8</v>
      </c>
      <c r="BF81" s="85">
        <v>5</v>
      </c>
      <c r="BG81" s="86">
        <v>13</v>
      </c>
      <c r="BH81" s="84">
        <f t="shared" si="18"/>
        <v>420</v>
      </c>
      <c r="BI81" s="84">
        <f t="shared" si="19"/>
        <v>93.277499999999989</v>
      </c>
      <c r="BJ81" s="85">
        <v>10</v>
      </c>
      <c r="BK81" s="85">
        <v>7</v>
      </c>
      <c r="BL81" s="86">
        <v>15</v>
      </c>
      <c r="BM81" s="71">
        <v>5000</v>
      </c>
      <c r="BN81" s="84">
        <f t="shared" si="20"/>
        <v>726.78750000000002</v>
      </c>
      <c r="BO81" s="71">
        <v>5100</v>
      </c>
      <c r="BP81" s="84">
        <f t="shared" si="21"/>
        <v>717.51524999999992</v>
      </c>
      <c r="BQ81" s="71">
        <v>50000</v>
      </c>
      <c r="BR81" s="84">
        <f t="shared" si="22"/>
        <v>4963.8749999999991</v>
      </c>
      <c r="BS81" s="71">
        <v>51000</v>
      </c>
      <c r="BT81" s="84">
        <f t="shared" si="23"/>
        <v>5177.1524999999992</v>
      </c>
      <c r="BU81" s="84">
        <v>80</v>
      </c>
      <c r="BV81" s="84">
        <v>23.75</v>
      </c>
      <c r="BY81" s="84">
        <v>80</v>
      </c>
      <c r="BZ81" s="84">
        <v>23.75</v>
      </c>
      <c r="CC81" s="84">
        <v>80</v>
      </c>
      <c r="CD81" s="84">
        <v>23.75</v>
      </c>
      <c r="CG81" s="84">
        <v>80</v>
      </c>
      <c r="CH81" s="84">
        <v>23.75</v>
      </c>
      <c r="CK81" s="84">
        <v>125</v>
      </c>
      <c r="CL81" s="84">
        <v>125</v>
      </c>
      <c r="CM81" s="84">
        <v>125</v>
      </c>
      <c r="CN81" s="84">
        <v>125</v>
      </c>
      <c r="CO81" s="84">
        <v>125</v>
      </c>
      <c r="CP81" s="84">
        <v>125</v>
      </c>
      <c r="CQ81" s="84">
        <v>125</v>
      </c>
      <c r="CR81" s="84">
        <v>125</v>
      </c>
      <c r="CS81" s="112">
        <v>25</v>
      </c>
      <c r="CT81" s="112">
        <v>18.300000000000001</v>
      </c>
      <c r="CU81" s="76" t="s">
        <v>175</v>
      </c>
      <c r="CW81" s="112">
        <v>28.300000000000001</v>
      </c>
      <c r="CX81" s="112">
        <v>16.100000000000001</v>
      </c>
      <c r="CY81" s="76" t="s">
        <v>175</v>
      </c>
      <c r="DA81" s="112">
        <v>50</v>
      </c>
      <c r="DB81" s="112">
        <v>16.600000000000001</v>
      </c>
      <c r="DC81" s="76" t="s">
        <v>175</v>
      </c>
      <c r="DE81" s="112">
        <v>100</v>
      </c>
      <c r="DF81" s="112">
        <v>16.600000000000001</v>
      </c>
      <c r="DG81" s="76" t="s">
        <v>175</v>
      </c>
      <c r="DI81" s="84">
        <v>140</v>
      </c>
      <c r="DJ81" s="84">
        <v>140</v>
      </c>
      <c r="DK81" s="84">
        <v>140</v>
      </c>
      <c r="DL81" s="84">
        <v>140</v>
      </c>
      <c r="DM81" s="84">
        <v>140</v>
      </c>
      <c r="DN81" s="84">
        <v>140</v>
      </c>
      <c r="DO81" s="84">
        <v>140</v>
      </c>
      <c r="DP81" s="84">
        <v>140</v>
      </c>
    </row>
    <row r="82" s="76" customFormat="1" ht="15.75" customHeight="1">
      <c r="A82" s="71">
        <v>3000000</v>
      </c>
      <c r="B82" s="72" t="s">
        <v>309</v>
      </c>
      <c r="C82" s="73" t="s">
        <v>310</v>
      </c>
      <c r="D82" s="71">
        <v>3300000</v>
      </c>
      <c r="E82" s="73" t="s">
        <v>311</v>
      </c>
      <c r="F82" s="74"/>
      <c r="G82" s="74"/>
      <c r="H82" s="74"/>
      <c r="I82" s="74"/>
      <c r="J82" s="74"/>
      <c r="K82" s="74"/>
      <c r="L82" s="72" t="s">
        <v>326</v>
      </c>
      <c r="M82" s="77" t="s">
        <v>311</v>
      </c>
      <c r="N82" s="77"/>
      <c r="O82" s="77"/>
      <c r="T82" s="77"/>
      <c r="U82" s="76" t="s">
        <v>314</v>
      </c>
      <c r="W82" s="76" t="s">
        <v>315</v>
      </c>
      <c r="X82" s="77" t="s">
        <v>327</v>
      </c>
      <c r="AD82" s="76" t="s">
        <v>170</v>
      </c>
      <c r="AE82" s="76" t="s">
        <v>171</v>
      </c>
      <c r="AF82" s="76" t="s">
        <v>171</v>
      </c>
      <c r="AG82" s="77"/>
      <c r="AH82" s="77"/>
      <c r="AI82" s="77"/>
      <c r="AJ82" s="77"/>
      <c r="AK82" s="77"/>
      <c r="AM82" s="77" t="s">
        <v>173</v>
      </c>
      <c r="AN82" s="99" t="s">
        <v>174</v>
      </c>
      <c r="AO82" s="76">
        <v>500</v>
      </c>
      <c r="AP82" s="82">
        <v>100000</v>
      </c>
      <c r="AQ82" s="86">
        <v>7.2999999999999998</v>
      </c>
      <c r="AR82" s="76" t="s">
        <v>317</v>
      </c>
      <c r="AS82" s="84">
        <f t="shared" si="12"/>
        <v>245.27999999999997</v>
      </c>
      <c r="AT82" s="84">
        <f t="shared" si="13"/>
        <v>98.797500000000014</v>
      </c>
      <c r="AU82" s="85">
        <v>7</v>
      </c>
      <c r="AV82" s="85">
        <v>4</v>
      </c>
      <c r="AW82" s="86">
        <v>24</v>
      </c>
      <c r="AX82" s="84">
        <f t="shared" si="14"/>
        <v>264</v>
      </c>
      <c r="AY82" s="84">
        <f t="shared" si="15"/>
        <v>93.277499999999989</v>
      </c>
      <c r="AZ82" s="85">
        <v>7</v>
      </c>
      <c r="BA82" s="85">
        <v>4</v>
      </c>
      <c r="BB82" s="86">
        <v>15</v>
      </c>
      <c r="BC82" s="84">
        <f t="shared" si="16"/>
        <v>348</v>
      </c>
      <c r="BD82" s="84">
        <f t="shared" si="17"/>
        <v>91.837500000000006</v>
      </c>
      <c r="BE82" s="85">
        <v>8</v>
      </c>
      <c r="BF82" s="85">
        <v>5</v>
      </c>
      <c r="BG82" s="86">
        <v>13</v>
      </c>
      <c r="BH82" s="84">
        <f t="shared" si="18"/>
        <v>564</v>
      </c>
      <c r="BI82" s="84">
        <f t="shared" si="19"/>
        <v>91.837500000000006</v>
      </c>
      <c r="BJ82" s="85">
        <v>10</v>
      </c>
      <c r="BK82" s="85">
        <v>7</v>
      </c>
      <c r="BL82" s="86">
        <v>15</v>
      </c>
      <c r="BM82" s="71">
        <v>5000</v>
      </c>
      <c r="BN82" s="84">
        <f t="shared" si="20"/>
        <v>739.26750000000004</v>
      </c>
      <c r="BO82" s="71">
        <v>5100</v>
      </c>
      <c r="BP82" s="84">
        <f t="shared" si="21"/>
        <v>739.71524999999997</v>
      </c>
      <c r="BQ82" s="71">
        <v>50000</v>
      </c>
      <c r="BR82" s="84">
        <f t="shared" si="22"/>
        <v>4939.875</v>
      </c>
      <c r="BS82" s="71">
        <v>51000</v>
      </c>
      <c r="BT82" s="84">
        <f t="shared" si="23"/>
        <v>5247.7124999999996</v>
      </c>
      <c r="BU82" s="84">
        <v>80</v>
      </c>
      <c r="BV82" s="84">
        <v>23.75</v>
      </c>
      <c r="BY82" s="84">
        <v>80</v>
      </c>
      <c r="BZ82" s="84">
        <v>23.75</v>
      </c>
      <c r="CC82" s="84">
        <v>80</v>
      </c>
      <c r="CD82" s="84">
        <v>23.75</v>
      </c>
      <c r="CG82" s="84">
        <v>80</v>
      </c>
      <c r="CH82" s="84">
        <v>23.75</v>
      </c>
      <c r="CK82" s="84">
        <v>125</v>
      </c>
      <c r="CL82" s="84">
        <v>125</v>
      </c>
      <c r="CM82" s="84">
        <v>125</v>
      </c>
      <c r="CN82" s="84">
        <v>125</v>
      </c>
      <c r="CO82" s="84">
        <v>125</v>
      </c>
      <c r="CP82" s="84">
        <v>125</v>
      </c>
      <c r="CQ82" s="84">
        <v>125</v>
      </c>
      <c r="CR82" s="84">
        <v>125</v>
      </c>
      <c r="CS82" s="112">
        <v>27.199999999999999</v>
      </c>
      <c r="CT82" s="112">
        <v>18.899999999999999</v>
      </c>
      <c r="CU82" s="76" t="s">
        <v>175</v>
      </c>
      <c r="CW82" s="112">
        <v>35</v>
      </c>
      <c r="CX82" s="112">
        <v>16.600000000000001</v>
      </c>
      <c r="CY82" s="76" t="s">
        <v>175</v>
      </c>
      <c r="DA82" s="112">
        <v>70</v>
      </c>
      <c r="DB82" s="112">
        <v>16</v>
      </c>
      <c r="DC82" s="76" t="s">
        <v>175</v>
      </c>
      <c r="DE82" s="112">
        <v>160</v>
      </c>
      <c r="DF82" s="112">
        <v>16</v>
      </c>
      <c r="DG82" s="76" t="s">
        <v>175</v>
      </c>
      <c r="DI82" s="84">
        <v>140</v>
      </c>
      <c r="DJ82" s="84">
        <v>140</v>
      </c>
      <c r="DK82" s="84">
        <v>140</v>
      </c>
      <c r="DL82" s="84">
        <v>140</v>
      </c>
      <c r="DM82" s="84">
        <v>140</v>
      </c>
      <c r="DN82" s="84">
        <v>140</v>
      </c>
      <c r="DO82" s="84">
        <v>140</v>
      </c>
      <c r="DP82" s="84">
        <v>140</v>
      </c>
    </row>
    <row r="83" s="76" customFormat="1" ht="15.75" customHeight="1">
      <c r="A83" s="71">
        <v>3000000</v>
      </c>
      <c r="B83" s="72" t="s">
        <v>309</v>
      </c>
      <c r="C83" s="73" t="s">
        <v>310</v>
      </c>
      <c r="D83" s="71">
        <v>3300000</v>
      </c>
      <c r="E83" s="73" t="s">
        <v>311</v>
      </c>
      <c r="F83" s="74"/>
      <c r="G83" s="74"/>
      <c r="H83" s="74"/>
      <c r="I83" s="74"/>
      <c r="J83" s="74"/>
      <c r="K83" s="74"/>
      <c r="L83" s="72" t="s">
        <v>328</v>
      </c>
      <c r="M83" s="77" t="s">
        <v>311</v>
      </c>
      <c r="N83" s="77"/>
      <c r="O83" s="77"/>
      <c r="T83" s="77"/>
      <c r="U83" s="76" t="s">
        <v>314</v>
      </c>
      <c r="W83" s="76" t="s">
        <v>315</v>
      </c>
      <c r="X83" s="77" t="s">
        <v>327</v>
      </c>
      <c r="AD83" s="76" t="s">
        <v>170</v>
      </c>
      <c r="AE83" s="76" t="s">
        <v>171</v>
      </c>
      <c r="AF83" s="76" t="s">
        <v>171</v>
      </c>
      <c r="AG83" s="77"/>
      <c r="AH83" s="77"/>
      <c r="AI83" s="77"/>
      <c r="AJ83" s="77"/>
      <c r="AK83" s="77"/>
      <c r="AM83" s="77" t="s">
        <v>319</v>
      </c>
      <c r="AN83" s="99" t="s">
        <v>174</v>
      </c>
      <c r="AO83" s="76">
        <v>500</v>
      </c>
      <c r="AP83" s="82">
        <v>100000</v>
      </c>
      <c r="AQ83" s="86">
        <v>7.2999999999999998</v>
      </c>
      <c r="AR83" s="76" t="s">
        <v>317</v>
      </c>
      <c r="AS83" s="84">
        <f t="shared" si="12"/>
        <v>247.19999999999999</v>
      </c>
      <c r="AT83" s="84">
        <f t="shared" si="13"/>
        <v>103.83750000000001</v>
      </c>
      <c r="AU83" s="85">
        <v>7</v>
      </c>
      <c r="AV83" s="85">
        <v>4</v>
      </c>
      <c r="AW83" s="86">
        <v>24</v>
      </c>
      <c r="AX83" s="84">
        <f t="shared" si="14"/>
        <v>312</v>
      </c>
      <c r="AY83" s="84">
        <f t="shared" si="15"/>
        <v>89.4375</v>
      </c>
      <c r="AZ83" s="85">
        <v>7</v>
      </c>
      <c r="BA83" s="85">
        <v>4</v>
      </c>
      <c r="BB83" s="86">
        <v>15</v>
      </c>
      <c r="BC83" s="84">
        <f t="shared" si="16"/>
        <v>341.75999999999999</v>
      </c>
      <c r="BD83" s="84">
        <f t="shared" si="17"/>
        <v>94.237499999999997</v>
      </c>
      <c r="BE83" s="85">
        <v>8</v>
      </c>
      <c r="BF83" s="85">
        <v>5</v>
      </c>
      <c r="BG83" s="86">
        <v>13</v>
      </c>
      <c r="BH83" s="84">
        <f t="shared" si="18"/>
        <v>554.39999999999998</v>
      </c>
      <c r="BI83" s="84">
        <f t="shared" si="19"/>
        <v>93.277499999999989</v>
      </c>
      <c r="BJ83" s="85">
        <v>10</v>
      </c>
      <c r="BK83" s="85">
        <v>7</v>
      </c>
      <c r="BL83" s="86">
        <v>15</v>
      </c>
      <c r="BM83" s="71">
        <v>5000</v>
      </c>
      <c r="BN83" s="84">
        <f t="shared" si="20"/>
        <v>766.38750000000005</v>
      </c>
      <c r="BO83" s="71">
        <v>5100</v>
      </c>
      <c r="BP83" s="84">
        <f t="shared" si="21"/>
        <v>768.13125000000002</v>
      </c>
      <c r="BQ83" s="71">
        <v>50000</v>
      </c>
      <c r="BR83" s="84">
        <f t="shared" si="22"/>
        <v>5053.6350000000002</v>
      </c>
      <c r="BS83" s="71">
        <v>51000</v>
      </c>
      <c r="BT83" s="84">
        <f t="shared" si="23"/>
        <v>5311.5524999999989</v>
      </c>
      <c r="BU83" s="84">
        <v>80</v>
      </c>
      <c r="BV83" s="84">
        <v>23.75</v>
      </c>
      <c r="BY83" s="84">
        <v>80</v>
      </c>
      <c r="BZ83" s="84">
        <v>23.75</v>
      </c>
      <c r="CC83" s="84">
        <v>80</v>
      </c>
      <c r="CD83" s="84">
        <v>23.75</v>
      </c>
      <c r="CG83" s="84">
        <v>80</v>
      </c>
      <c r="CH83" s="84">
        <v>23.75</v>
      </c>
      <c r="CK83" s="84">
        <v>125</v>
      </c>
      <c r="CL83" s="84">
        <v>125</v>
      </c>
      <c r="CM83" s="84">
        <v>125</v>
      </c>
      <c r="CN83" s="84">
        <v>125</v>
      </c>
      <c r="CO83" s="84">
        <v>125</v>
      </c>
      <c r="CP83" s="84">
        <v>125</v>
      </c>
      <c r="CQ83" s="84">
        <v>125</v>
      </c>
      <c r="CR83" s="84">
        <v>125</v>
      </c>
      <c r="CS83" s="112">
        <v>28</v>
      </c>
      <c r="CT83" s="112">
        <v>21</v>
      </c>
      <c r="CU83" s="76" t="s">
        <v>175</v>
      </c>
      <c r="CW83" s="112">
        <v>55</v>
      </c>
      <c r="CX83" s="112">
        <v>15</v>
      </c>
      <c r="CY83" s="76" t="s">
        <v>175</v>
      </c>
      <c r="DA83" s="112">
        <v>67.400000000000006</v>
      </c>
      <c r="DB83" s="112">
        <v>17</v>
      </c>
      <c r="DC83" s="76" t="s">
        <v>175</v>
      </c>
      <c r="DE83" s="112">
        <v>156</v>
      </c>
      <c r="DF83" s="112">
        <v>16.600000000000001</v>
      </c>
      <c r="DG83" s="76" t="s">
        <v>175</v>
      </c>
      <c r="DI83" s="84">
        <v>140</v>
      </c>
      <c r="DJ83" s="84">
        <v>140</v>
      </c>
      <c r="DK83" s="84">
        <v>140</v>
      </c>
      <c r="DL83" s="84">
        <v>140</v>
      </c>
      <c r="DM83" s="84">
        <v>140</v>
      </c>
      <c r="DN83" s="84">
        <v>140</v>
      </c>
      <c r="DO83" s="84">
        <v>140</v>
      </c>
      <c r="DP83" s="84">
        <v>140</v>
      </c>
    </row>
    <row r="84" s="51" customFormat="1" ht="15.75" customHeight="1">
      <c r="A84" s="52">
        <v>3000000</v>
      </c>
      <c r="B84" s="53" t="s">
        <v>309</v>
      </c>
      <c r="C84" s="54" t="s">
        <v>310</v>
      </c>
      <c r="D84" s="52">
        <v>3310000</v>
      </c>
      <c r="E84" s="54" t="s">
        <v>329</v>
      </c>
      <c r="F84" s="55"/>
      <c r="G84" s="55"/>
      <c r="H84" s="55"/>
      <c r="I84" s="53"/>
      <c r="J84" s="53"/>
      <c r="L84" s="53" t="s">
        <v>330</v>
      </c>
      <c r="M84" s="57" t="s">
        <v>329</v>
      </c>
      <c r="N84" s="57" t="s">
        <v>331</v>
      </c>
      <c r="O84" s="57"/>
      <c r="T84" s="57"/>
      <c r="U84" s="51" t="s">
        <v>164</v>
      </c>
      <c r="W84" s="51" t="s">
        <v>315</v>
      </c>
      <c r="X84" s="57" t="s">
        <v>316</v>
      </c>
      <c r="AD84" s="51" t="s">
        <v>170</v>
      </c>
      <c r="AE84" s="51" t="s">
        <v>171</v>
      </c>
      <c r="AF84" s="51" t="s">
        <v>171</v>
      </c>
      <c r="AG84" s="57"/>
      <c r="AH84" s="57"/>
      <c r="AI84" s="57"/>
      <c r="AJ84" s="57"/>
      <c r="AK84" s="57"/>
      <c r="AM84" s="57" t="s">
        <v>173</v>
      </c>
      <c r="AN84" s="106" t="s">
        <v>174</v>
      </c>
      <c r="AO84" s="51">
        <v>500</v>
      </c>
      <c r="AP84" s="60">
        <v>100000</v>
      </c>
      <c r="AQ84" s="64">
        <v>5.7999999999999998</v>
      </c>
      <c r="AR84" s="51" t="s">
        <v>317</v>
      </c>
      <c r="AS84" s="62">
        <f t="shared" ref="AS84:AS99" si="24">BU84+(BU84*CK84/100)+CS84+(CS84*DI84/100)</f>
        <v>245.75999999999999</v>
      </c>
      <c r="AT84" s="62">
        <f t="shared" ref="AT84:AT99" si="25">BV84+(BV84*CL84/100)+CT84+(CT84*DJ84/100)</f>
        <v>97.117500000000007</v>
      </c>
      <c r="AU84" s="63">
        <v>7</v>
      </c>
      <c r="AV84" s="63">
        <v>4</v>
      </c>
      <c r="AW84" s="64">
        <v>24</v>
      </c>
      <c r="AX84" s="62">
        <f t="shared" ref="AX84:AX99" si="26">BY84+(BY84*CM84/100)+CW84+(CW84*DK84/100)</f>
        <v>281.75999999999999</v>
      </c>
      <c r="AY84" s="62">
        <f t="shared" ref="AY84:AY99" si="27">BZ84+(BZ84*CN84/100)+CX84+(CX84*DL84/100)</f>
        <v>89.197500000000005</v>
      </c>
      <c r="AZ84" s="63">
        <v>7</v>
      </c>
      <c r="BA84" s="63">
        <v>4</v>
      </c>
      <c r="BB84" s="64">
        <v>15</v>
      </c>
      <c r="BC84" s="62">
        <f t="shared" ref="BC84:BC99" si="28">CC84+(CC84*CO84/100)+DA84+(DA84*DM84/100)</f>
        <v>372</v>
      </c>
      <c r="BD84" s="62">
        <f t="shared" ref="BD84:BD99" si="29">CD84+(CD84*CP84/100)+DB84+(DB84*DN84/100)</f>
        <v>89.197500000000005</v>
      </c>
      <c r="BE84" s="63">
        <v>8</v>
      </c>
      <c r="BF84" s="63">
        <v>5</v>
      </c>
      <c r="BG84" s="64">
        <v>13</v>
      </c>
      <c r="BH84" s="62">
        <f t="shared" ref="BH84:BH99" si="30">CG84+(CG84*CQ84/100)+DE84+(DE84*DO84/100)</f>
        <v>595.44000000000005</v>
      </c>
      <c r="BI84" s="62">
        <f t="shared" ref="BI84:BI99" si="31">CH84+(CH84*CR84/100)+DF84+(DF84*DP84/100)</f>
        <v>89.197500000000005</v>
      </c>
      <c r="BJ84" s="63">
        <v>10</v>
      </c>
      <c r="BK84" s="63">
        <v>7</v>
      </c>
      <c r="BL84" s="64">
        <v>15</v>
      </c>
      <c r="BM84" s="52">
        <v>5000</v>
      </c>
      <c r="BN84" s="62">
        <f t="shared" ref="BN84:BN99" si="32">IF(BM84&gt;0,AS84+(AT84*BM84/1000),"")</f>
        <v>731.34750000000008</v>
      </c>
      <c r="BO84" s="52">
        <v>5100</v>
      </c>
      <c r="BP84" s="62">
        <f t="shared" ref="BP84:BP99" si="33">IF(BO84&gt;0,AX84+(AY84*BO84/1000),"")</f>
        <v>736.66724999999997</v>
      </c>
      <c r="BQ84" s="52">
        <v>50000</v>
      </c>
      <c r="BR84" s="62">
        <f t="shared" ref="BR84:BR99" si="34">IF(BQ84&gt;0,BC84+(BD84*BQ84/1000),"")</f>
        <v>4831.875</v>
      </c>
      <c r="BS84" s="52">
        <v>51000</v>
      </c>
      <c r="BT84" s="62">
        <f t="shared" ref="BT84:BT99" si="35">IF(BS84&gt;0,BH84+(BI84*BS84/1000),"")</f>
        <v>5144.5125000000007</v>
      </c>
      <c r="BU84" s="62">
        <v>80</v>
      </c>
      <c r="BV84" s="62">
        <v>23.75</v>
      </c>
      <c r="BY84" s="62">
        <v>80</v>
      </c>
      <c r="BZ84" s="62">
        <v>23.75</v>
      </c>
      <c r="CC84" s="62">
        <v>80</v>
      </c>
      <c r="CD84" s="62">
        <v>23.75</v>
      </c>
      <c r="CG84" s="62">
        <v>80</v>
      </c>
      <c r="CH84" s="62">
        <v>23.75</v>
      </c>
      <c r="CK84" s="62">
        <v>125</v>
      </c>
      <c r="CL84" s="62">
        <v>125</v>
      </c>
      <c r="CM84" s="62">
        <v>125</v>
      </c>
      <c r="CN84" s="62">
        <v>125</v>
      </c>
      <c r="CO84" s="62">
        <v>125</v>
      </c>
      <c r="CP84" s="62">
        <v>125</v>
      </c>
      <c r="CQ84" s="62">
        <v>125</v>
      </c>
      <c r="CR84" s="62">
        <v>125</v>
      </c>
      <c r="CS84" s="130">
        <v>27.399999999999999</v>
      </c>
      <c r="CT84" s="130">
        <v>18.199999999999999</v>
      </c>
      <c r="CU84" s="51" t="s">
        <v>175</v>
      </c>
      <c r="CW84" s="130">
        <v>42.399999999999999</v>
      </c>
      <c r="CX84" s="130">
        <v>14.9</v>
      </c>
      <c r="CY84" s="51" t="s">
        <v>175</v>
      </c>
      <c r="DA84" s="130">
        <v>80</v>
      </c>
      <c r="DB84" s="130">
        <v>14.9</v>
      </c>
      <c r="DC84" s="51" t="s">
        <v>175</v>
      </c>
      <c r="DE84" s="130">
        <v>173.09999999999999</v>
      </c>
      <c r="DF84" s="130">
        <v>14.9</v>
      </c>
      <c r="DG84" s="51" t="s">
        <v>175</v>
      </c>
      <c r="DI84" s="62">
        <v>140</v>
      </c>
      <c r="DJ84" s="62">
        <v>140</v>
      </c>
      <c r="DK84" s="62">
        <v>140</v>
      </c>
      <c r="DL84" s="62">
        <v>140</v>
      </c>
      <c r="DM84" s="62">
        <v>140</v>
      </c>
      <c r="DN84" s="62">
        <v>140</v>
      </c>
      <c r="DO84" s="62">
        <v>140</v>
      </c>
      <c r="DP84" s="62">
        <v>140</v>
      </c>
    </row>
    <row r="85" s="51" customFormat="1" ht="15.75" customHeight="1">
      <c r="A85" s="52">
        <v>3000000</v>
      </c>
      <c r="B85" s="53" t="s">
        <v>309</v>
      </c>
      <c r="C85" s="54" t="s">
        <v>310</v>
      </c>
      <c r="D85" s="52">
        <v>3310000</v>
      </c>
      <c r="E85" s="54" t="s">
        <v>329</v>
      </c>
      <c r="F85" s="55"/>
      <c r="G85" s="55"/>
      <c r="H85" s="55"/>
      <c r="I85" s="53"/>
      <c r="J85" s="53"/>
      <c r="L85" s="53" t="s">
        <v>332</v>
      </c>
      <c r="M85" s="57" t="s">
        <v>329</v>
      </c>
      <c r="N85" s="57"/>
      <c r="O85" s="57"/>
      <c r="T85" s="57"/>
      <c r="U85" s="51" t="s">
        <v>164</v>
      </c>
      <c r="W85" s="51" t="s">
        <v>315</v>
      </c>
      <c r="X85" s="57" t="s">
        <v>316</v>
      </c>
      <c r="AD85" s="51" t="s">
        <v>170</v>
      </c>
      <c r="AE85" s="51" t="s">
        <v>171</v>
      </c>
      <c r="AF85" s="51" t="s">
        <v>171</v>
      </c>
      <c r="AG85" s="57"/>
      <c r="AH85" s="57"/>
      <c r="AI85" s="57"/>
      <c r="AJ85" s="57"/>
      <c r="AK85" s="57"/>
      <c r="AM85" s="57" t="s">
        <v>319</v>
      </c>
      <c r="AN85" s="106" t="s">
        <v>174</v>
      </c>
      <c r="AO85" s="51">
        <v>500</v>
      </c>
      <c r="AP85" s="60">
        <v>100000</v>
      </c>
      <c r="AQ85" s="64">
        <v>6.7000000000000002</v>
      </c>
      <c r="AR85" s="51" t="s">
        <v>317</v>
      </c>
      <c r="AS85" s="62">
        <f t="shared" si="24"/>
        <v>285.60000000000002</v>
      </c>
      <c r="AT85" s="62">
        <f t="shared" si="25"/>
        <v>105.9975</v>
      </c>
      <c r="AU85" s="63">
        <v>7</v>
      </c>
      <c r="AV85" s="63">
        <v>4</v>
      </c>
      <c r="AW85" s="64">
        <v>24</v>
      </c>
      <c r="AX85" s="62">
        <f t="shared" si="26"/>
        <v>348</v>
      </c>
      <c r="AY85" s="62">
        <f t="shared" si="27"/>
        <v>96.397500000000008</v>
      </c>
      <c r="AZ85" s="63">
        <v>7</v>
      </c>
      <c r="BA85" s="63">
        <v>4</v>
      </c>
      <c r="BB85" s="64">
        <v>15</v>
      </c>
      <c r="BC85" s="62">
        <f t="shared" si="28"/>
        <v>387.60000000000002</v>
      </c>
      <c r="BD85" s="62">
        <f t="shared" si="29"/>
        <v>99.037499999999994</v>
      </c>
      <c r="BE85" s="63">
        <v>8</v>
      </c>
      <c r="BF85" s="63">
        <v>5</v>
      </c>
      <c r="BG85" s="64">
        <v>13</v>
      </c>
      <c r="BH85" s="62">
        <f t="shared" si="30"/>
        <v>699.3599999999999</v>
      </c>
      <c r="BI85" s="62">
        <f t="shared" si="31"/>
        <v>99.037499999999994</v>
      </c>
      <c r="BJ85" s="63">
        <v>10</v>
      </c>
      <c r="BK85" s="63">
        <v>7</v>
      </c>
      <c r="BL85" s="64">
        <v>15</v>
      </c>
      <c r="BM85" s="52">
        <v>5000</v>
      </c>
      <c r="BN85" s="62">
        <f t="shared" si="32"/>
        <v>815.58749999999998</v>
      </c>
      <c r="BO85" s="52">
        <v>5100</v>
      </c>
      <c r="BP85" s="62">
        <f t="shared" si="33"/>
        <v>839.62725</v>
      </c>
      <c r="BQ85" s="52">
        <v>50000</v>
      </c>
      <c r="BR85" s="62">
        <f t="shared" si="34"/>
        <v>5339.4750000000004</v>
      </c>
      <c r="BS85" s="52">
        <v>51000</v>
      </c>
      <c r="BT85" s="62">
        <f t="shared" si="35"/>
        <v>5750.2725</v>
      </c>
      <c r="BU85" s="62">
        <v>80</v>
      </c>
      <c r="BV85" s="62">
        <v>23.75</v>
      </c>
      <c r="BY85" s="62">
        <v>80</v>
      </c>
      <c r="BZ85" s="62">
        <v>23.75</v>
      </c>
      <c r="CC85" s="62">
        <v>80</v>
      </c>
      <c r="CD85" s="62">
        <v>23.75</v>
      </c>
      <c r="CG85" s="62">
        <v>80</v>
      </c>
      <c r="CH85" s="62">
        <v>23.75</v>
      </c>
      <c r="CK85" s="62">
        <v>125</v>
      </c>
      <c r="CL85" s="62">
        <v>125</v>
      </c>
      <c r="CM85" s="62">
        <v>125</v>
      </c>
      <c r="CN85" s="62">
        <v>125</v>
      </c>
      <c r="CO85" s="62">
        <v>125</v>
      </c>
      <c r="CP85" s="62">
        <v>125</v>
      </c>
      <c r="CQ85" s="62">
        <v>125</v>
      </c>
      <c r="CR85" s="62">
        <v>125</v>
      </c>
      <c r="CS85" s="130">
        <v>44</v>
      </c>
      <c r="CT85" s="130">
        <v>21.899999999999999</v>
      </c>
      <c r="CU85" s="51" t="s">
        <v>175</v>
      </c>
      <c r="CW85" s="130">
        <v>70</v>
      </c>
      <c r="CX85" s="130">
        <v>17.899999999999999</v>
      </c>
      <c r="CY85" s="51" t="s">
        <v>175</v>
      </c>
      <c r="DA85" s="130">
        <v>86.5</v>
      </c>
      <c r="DB85" s="130">
        <v>19</v>
      </c>
      <c r="DC85" s="51" t="s">
        <v>175</v>
      </c>
      <c r="DE85" s="130">
        <v>216.40000000000001</v>
      </c>
      <c r="DF85" s="130">
        <v>19</v>
      </c>
      <c r="DG85" s="51" t="s">
        <v>175</v>
      </c>
      <c r="DI85" s="62">
        <v>140</v>
      </c>
      <c r="DJ85" s="62">
        <v>140</v>
      </c>
      <c r="DK85" s="62">
        <v>140</v>
      </c>
      <c r="DL85" s="62">
        <v>140</v>
      </c>
      <c r="DM85" s="62">
        <v>140</v>
      </c>
      <c r="DN85" s="62">
        <v>140</v>
      </c>
      <c r="DO85" s="62">
        <v>140</v>
      </c>
      <c r="DP85" s="62">
        <v>140</v>
      </c>
    </row>
    <row r="86" s="51" customFormat="1" ht="15.75" customHeight="1">
      <c r="A86" s="52">
        <v>3000000</v>
      </c>
      <c r="B86" s="53" t="s">
        <v>309</v>
      </c>
      <c r="C86" s="54" t="s">
        <v>310</v>
      </c>
      <c r="D86" s="52">
        <v>3310000</v>
      </c>
      <c r="E86" s="54" t="s">
        <v>329</v>
      </c>
      <c r="F86" s="55"/>
      <c r="G86" s="55"/>
      <c r="H86" s="55"/>
      <c r="I86" s="53"/>
      <c r="J86" s="53"/>
      <c r="L86" s="53" t="s">
        <v>333</v>
      </c>
      <c r="M86" s="57" t="s">
        <v>329</v>
      </c>
      <c r="N86" s="57"/>
      <c r="O86" s="57"/>
      <c r="T86" s="57"/>
      <c r="U86" s="51" t="s">
        <v>164</v>
      </c>
      <c r="W86" s="51" t="s">
        <v>315</v>
      </c>
      <c r="X86" s="57" t="s">
        <v>321</v>
      </c>
      <c r="AD86" s="51" t="s">
        <v>170</v>
      </c>
      <c r="AE86" s="51" t="s">
        <v>171</v>
      </c>
      <c r="AF86" s="51" t="s">
        <v>171</v>
      </c>
      <c r="AG86" s="57"/>
      <c r="AH86" s="57"/>
      <c r="AI86" s="57"/>
      <c r="AJ86" s="57"/>
      <c r="AK86" s="57"/>
      <c r="AM86" s="57" t="s">
        <v>173</v>
      </c>
      <c r="AN86" s="106" t="s">
        <v>174</v>
      </c>
      <c r="AO86" s="51">
        <v>500</v>
      </c>
      <c r="AP86" s="60">
        <v>100000</v>
      </c>
      <c r="AQ86" s="64">
        <v>6.7000000000000002</v>
      </c>
      <c r="AR86" s="51" t="s">
        <v>317</v>
      </c>
      <c r="AS86" s="62">
        <f t="shared" si="24"/>
        <v>262.80000000000001</v>
      </c>
      <c r="AT86" s="62">
        <f t="shared" si="25"/>
        <v>115.83750000000001</v>
      </c>
      <c r="AU86" s="63">
        <v>7</v>
      </c>
      <c r="AV86" s="63">
        <v>4</v>
      </c>
      <c r="AW86" s="64">
        <v>24</v>
      </c>
      <c r="AX86" s="62">
        <f t="shared" si="26"/>
        <v>300</v>
      </c>
      <c r="AY86" s="62">
        <f t="shared" si="27"/>
        <v>108.39750000000001</v>
      </c>
      <c r="AZ86" s="63">
        <v>7</v>
      </c>
      <c r="BA86" s="63">
        <v>4</v>
      </c>
      <c r="BB86" s="64">
        <v>15</v>
      </c>
      <c r="BC86" s="62">
        <f t="shared" si="28"/>
        <v>398.88</v>
      </c>
      <c r="BD86" s="62">
        <f t="shared" si="29"/>
        <v>107.4375</v>
      </c>
      <c r="BE86" s="63">
        <v>8</v>
      </c>
      <c r="BF86" s="63">
        <v>5</v>
      </c>
      <c r="BG86" s="64">
        <v>13</v>
      </c>
      <c r="BH86" s="62">
        <f t="shared" si="30"/>
        <v>682.31999999999994</v>
      </c>
      <c r="BI86" s="62">
        <f t="shared" si="31"/>
        <v>106.2375</v>
      </c>
      <c r="BJ86" s="63">
        <v>10</v>
      </c>
      <c r="BK86" s="63">
        <v>7</v>
      </c>
      <c r="BL86" s="64">
        <v>15</v>
      </c>
      <c r="BM86" s="52">
        <v>5000</v>
      </c>
      <c r="BN86" s="62">
        <f t="shared" si="32"/>
        <v>841.98749999999995</v>
      </c>
      <c r="BO86" s="52">
        <v>5100</v>
      </c>
      <c r="BP86" s="62">
        <f t="shared" si="33"/>
        <v>852.82725000000005</v>
      </c>
      <c r="BQ86" s="52">
        <v>50000</v>
      </c>
      <c r="BR86" s="62">
        <f t="shared" si="34"/>
        <v>5770.7550000000001</v>
      </c>
      <c r="BS86" s="52">
        <v>51000</v>
      </c>
      <c r="BT86" s="62">
        <f t="shared" si="35"/>
        <v>6100.4324999999999</v>
      </c>
      <c r="BU86" s="62">
        <v>80</v>
      </c>
      <c r="BV86" s="62">
        <v>23.75</v>
      </c>
      <c r="BY86" s="62">
        <v>80</v>
      </c>
      <c r="BZ86" s="62">
        <v>23.75</v>
      </c>
      <c r="CC86" s="62">
        <v>80</v>
      </c>
      <c r="CD86" s="62">
        <v>23.75</v>
      </c>
      <c r="CG86" s="62">
        <v>80</v>
      </c>
      <c r="CH86" s="62">
        <v>23.75</v>
      </c>
      <c r="CK86" s="62">
        <v>125</v>
      </c>
      <c r="CL86" s="62">
        <v>125</v>
      </c>
      <c r="CM86" s="62">
        <v>125</v>
      </c>
      <c r="CN86" s="62">
        <v>125</v>
      </c>
      <c r="CO86" s="62">
        <v>125</v>
      </c>
      <c r="CP86" s="62">
        <v>125</v>
      </c>
      <c r="CQ86" s="62">
        <v>125</v>
      </c>
      <c r="CR86" s="62">
        <v>125</v>
      </c>
      <c r="CS86" s="130">
        <v>34.5</v>
      </c>
      <c r="CT86" s="130">
        <v>26</v>
      </c>
      <c r="CU86" s="51" t="s">
        <v>175</v>
      </c>
      <c r="CW86" s="130">
        <v>50</v>
      </c>
      <c r="CX86" s="130">
        <v>22.899999999999999</v>
      </c>
      <c r="CY86" s="51" t="s">
        <v>175</v>
      </c>
      <c r="DA86" s="130">
        <v>91.200000000000003</v>
      </c>
      <c r="DB86" s="130">
        <v>22.5</v>
      </c>
      <c r="DC86" s="51" t="s">
        <v>175</v>
      </c>
      <c r="DE86" s="130">
        <v>209.30000000000001</v>
      </c>
      <c r="DF86" s="130">
        <v>22</v>
      </c>
      <c r="DG86" s="51" t="s">
        <v>175</v>
      </c>
      <c r="DI86" s="62">
        <v>140</v>
      </c>
      <c r="DJ86" s="62">
        <v>140</v>
      </c>
      <c r="DK86" s="62">
        <v>140</v>
      </c>
      <c r="DL86" s="62">
        <v>140</v>
      </c>
      <c r="DM86" s="62">
        <v>140</v>
      </c>
      <c r="DN86" s="62">
        <v>140</v>
      </c>
      <c r="DO86" s="62">
        <v>140</v>
      </c>
      <c r="DP86" s="62">
        <v>140</v>
      </c>
    </row>
    <row r="87" s="51" customFormat="1" ht="15.75" customHeight="1">
      <c r="A87" s="52">
        <v>3000000</v>
      </c>
      <c r="B87" s="53" t="s">
        <v>309</v>
      </c>
      <c r="C87" s="54" t="s">
        <v>310</v>
      </c>
      <c r="D87" s="52">
        <v>3310000</v>
      </c>
      <c r="E87" s="54" t="s">
        <v>329</v>
      </c>
      <c r="F87" s="55"/>
      <c r="G87" s="55"/>
      <c r="H87" s="55"/>
      <c r="I87" s="53"/>
      <c r="J87" s="53"/>
      <c r="L87" s="53" t="s">
        <v>334</v>
      </c>
      <c r="M87" s="57" t="s">
        <v>329</v>
      </c>
      <c r="N87" s="57"/>
      <c r="O87" s="57"/>
      <c r="T87" s="57"/>
      <c r="U87" s="51" t="s">
        <v>164</v>
      </c>
      <c r="W87" s="51" t="s">
        <v>315</v>
      </c>
      <c r="X87" s="57" t="s">
        <v>321</v>
      </c>
      <c r="AD87" s="51" t="s">
        <v>170</v>
      </c>
      <c r="AE87" s="51" t="s">
        <v>171</v>
      </c>
      <c r="AF87" s="51" t="s">
        <v>171</v>
      </c>
      <c r="AG87" s="57"/>
      <c r="AH87" s="57"/>
      <c r="AI87" s="57"/>
      <c r="AJ87" s="57"/>
      <c r="AK87" s="57"/>
      <c r="AM87" s="57" t="s">
        <v>319</v>
      </c>
      <c r="AN87" s="106" t="s">
        <v>174</v>
      </c>
      <c r="AO87" s="51">
        <v>500</v>
      </c>
      <c r="AP87" s="60">
        <v>100000</v>
      </c>
      <c r="AQ87" s="64">
        <v>6.7000000000000002</v>
      </c>
      <c r="AR87" s="51" t="s">
        <v>317</v>
      </c>
      <c r="AS87" s="62">
        <f t="shared" si="24"/>
        <v>316.80000000000001</v>
      </c>
      <c r="AT87" s="62">
        <f t="shared" si="25"/>
        <v>130.7175</v>
      </c>
      <c r="AU87" s="63">
        <v>7</v>
      </c>
      <c r="AV87" s="63">
        <v>4</v>
      </c>
      <c r="AW87" s="64">
        <v>24</v>
      </c>
      <c r="AX87" s="62">
        <f t="shared" si="26"/>
        <v>348</v>
      </c>
      <c r="AY87" s="62">
        <f t="shared" si="27"/>
        <v>121.35749999999999</v>
      </c>
      <c r="AZ87" s="63">
        <v>7</v>
      </c>
      <c r="BA87" s="63">
        <v>4</v>
      </c>
      <c r="BB87" s="64">
        <v>15</v>
      </c>
      <c r="BC87" s="62">
        <f t="shared" si="28"/>
        <v>451.67999999999995</v>
      </c>
      <c r="BD87" s="62">
        <f t="shared" si="29"/>
        <v>118.7175</v>
      </c>
      <c r="BE87" s="63">
        <v>8</v>
      </c>
      <c r="BF87" s="63">
        <v>5</v>
      </c>
      <c r="BG87" s="64">
        <v>13</v>
      </c>
      <c r="BH87" s="62">
        <f t="shared" si="30"/>
        <v>799.92000000000007</v>
      </c>
      <c r="BI87" s="62">
        <f t="shared" si="31"/>
        <v>118.47749999999999</v>
      </c>
      <c r="BJ87" s="63">
        <v>10</v>
      </c>
      <c r="BK87" s="63">
        <v>7</v>
      </c>
      <c r="BL87" s="64">
        <v>15</v>
      </c>
      <c r="BM87" s="52">
        <v>5000</v>
      </c>
      <c r="BN87" s="62">
        <f t="shared" si="32"/>
        <v>970.38750000000005</v>
      </c>
      <c r="BO87" s="52">
        <v>5100</v>
      </c>
      <c r="BP87" s="62">
        <f t="shared" si="33"/>
        <v>966.92324999999994</v>
      </c>
      <c r="BQ87" s="52">
        <v>50000</v>
      </c>
      <c r="BR87" s="62">
        <f t="shared" si="34"/>
        <v>6387.5550000000003</v>
      </c>
      <c r="BS87" s="52">
        <v>51000</v>
      </c>
      <c r="BT87" s="62">
        <f t="shared" si="35"/>
        <v>6842.2725</v>
      </c>
      <c r="BU87" s="62">
        <v>80</v>
      </c>
      <c r="BV87" s="62">
        <v>23.75</v>
      </c>
      <c r="BY87" s="62">
        <v>80</v>
      </c>
      <c r="BZ87" s="62">
        <v>23.75</v>
      </c>
      <c r="CC87" s="62">
        <v>80</v>
      </c>
      <c r="CD87" s="62">
        <v>23.75</v>
      </c>
      <c r="CG87" s="62">
        <v>80</v>
      </c>
      <c r="CH87" s="62">
        <v>23.75</v>
      </c>
      <c r="CK87" s="62">
        <v>125</v>
      </c>
      <c r="CL87" s="62">
        <v>125</v>
      </c>
      <c r="CM87" s="62">
        <v>125</v>
      </c>
      <c r="CN87" s="62">
        <v>125</v>
      </c>
      <c r="CO87" s="62">
        <v>125</v>
      </c>
      <c r="CP87" s="62">
        <v>125</v>
      </c>
      <c r="CQ87" s="62">
        <v>125</v>
      </c>
      <c r="CR87" s="62">
        <v>125</v>
      </c>
      <c r="CS87" s="130">
        <v>57</v>
      </c>
      <c r="CT87" s="130">
        <v>32.200000000000003</v>
      </c>
      <c r="CU87" s="51" t="s">
        <v>175</v>
      </c>
      <c r="CW87" s="130">
        <v>70</v>
      </c>
      <c r="CX87" s="130">
        <v>28.300000000000001</v>
      </c>
      <c r="CY87" s="51" t="s">
        <v>175</v>
      </c>
      <c r="DA87" s="130">
        <v>113.2</v>
      </c>
      <c r="DB87" s="130">
        <v>27.199999999999999</v>
      </c>
      <c r="DC87" s="51" t="s">
        <v>175</v>
      </c>
      <c r="DE87" s="130">
        <v>258.30000000000001</v>
      </c>
      <c r="DF87" s="130">
        <v>27.100000000000001</v>
      </c>
      <c r="DG87" s="51" t="s">
        <v>175</v>
      </c>
      <c r="DI87" s="62">
        <v>140</v>
      </c>
      <c r="DJ87" s="62">
        <v>140</v>
      </c>
      <c r="DK87" s="62">
        <v>140</v>
      </c>
      <c r="DL87" s="62">
        <v>140</v>
      </c>
      <c r="DM87" s="62">
        <v>140</v>
      </c>
      <c r="DN87" s="62">
        <v>140</v>
      </c>
      <c r="DO87" s="62">
        <v>140</v>
      </c>
      <c r="DP87" s="62">
        <v>140</v>
      </c>
    </row>
    <row r="88" s="51" customFormat="1" ht="15.75" customHeight="1">
      <c r="A88" s="52">
        <v>3000000</v>
      </c>
      <c r="B88" s="53" t="s">
        <v>309</v>
      </c>
      <c r="C88" s="54" t="s">
        <v>310</v>
      </c>
      <c r="D88" s="52">
        <v>3310000</v>
      </c>
      <c r="E88" s="54" t="s">
        <v>329</v>
      </c>
      <c r="F88" s="55"/>
      <c r="G88" s="55"/>
      <c r="H88" s="55"/>
      <c r="I88" s="53"/>
      <c r="J88" s="53"/>
      <c r="L88" s="53" t="s">
        <v>335</v>
      </c>
      <c r="M88" s="57" t="s">
        <v>329</v>
      </c>
      <c r="N88" s="57"/>
      <c r="O88" s="57"/>
      <c r="T88" s="57"/>
      <c r="U88" s="51" t="s">
        <v>164</v>
      </c>
      <c r="W88" s="51" t="s">
        <v>315</v>
      </c>
      <c r="X88" s="57" t="s">
        <v>324</v>
      </c>
      <c r="AD88" s="51" t="s">
        <v>170</v>
      </c>
      <c r="AE88" s="51" t="s">
        <v>171</v>
      </c>
      <c r="AF88" s="51" t="s">
        <v>171</v>
      </c>
      <c r="AG88" s="57"/>
      <c r="AH88" s="57"/>
      <c r="AI88" s="57"/>
      <c r="AJ88" s="57"/>
      <c r="AK88" s="57"/>
      <c r="AM88" s="57" t="s">
        <v>173</v>
      </c>
      <c r="AN88" s="106" t="s">
        <v>174</v>
      </c>
      <c r="AO88" s="51">
        <v>500</v>
      </c>
      <c r="AP88" s="60">
        <v>100000</v>
      </c>
      <c r="AQ88" s="64">
        <v>6.7000000000000002</v>
      </c>
      <c r="AR88" s="51" t="s">
        <v>317</v>
      </c>
      <c r="AS88" s="62">
        <f t="shared" si="24"/>
        <v>230.16</v>
      </c>
      <c r="AT88" s="62">
        <f t="shared" si="25"/>
        <v>93.757499999999993</v>
      </c>
      <c r="AU88" s="63">
        <v>7</v>
      </c>
      <c r="AV88" s="63">
        <v>4</v>
      </c>
      <c r="AW88" s="64">
        <v>24</v>
      </c>
      <c r="AX88" s="62">
        <f t="shared" si="26"/>
        <v>252.72000000000003</v>
      </c>
      <c r="AY88" s="62">
        <f t="shared" si="27"/>
        <v>88.717500000000001</v>
      </c>
      <c r="AZ88" s="63">
        <v>7</v>
      </c>
      <c r="BA88" s="63">
        <v>4</v>
      </c>
      <c r="BB88" s="64">
        <v>15</v>
      </c>
      <c r="BC88" s="62">
        <f t="shared" si="28"/>
        <v>343.92000000000002</v>
      </c>
      <c r="BD88" s="62">
        <f t="shared" si="29"/>
        <v>84.877499999999998</v>
      </c>
      <c r="BE88" s="63">
        <v>8</v>
      </c>
      <c r="BF88" s="63">
        <v>5</v>
      </c>
      <c r="BG88" s="64">
        <v>13</v>
      </c>
      <c r="BH88" s="62">
        <f t="shared" si="30"/>
        <v>534.72000000000003</v>
      </c>
      <c r="BI88" s="62">
        <f t="shared" si="31"/>
        <v>84.877499999999998</v>
      </c>
      <c r="BJ88" s="63">
        <v>10</v>
      </c>
      <c r="BK88" s="63">
        <v>7</v>
      </c>
      <c r="BL88" s="64">
        <v>15</v>
      </c>
      <c r="BM88" s="52">
        <v>5000</v>
      </c>
      <c r="BN88" s="62">
        <f t="shared" si="32"/>
        <v>698.94749999999999</v>
      </c>
      <c r="BO88" s="52">
        <v>5100</v>
      </c>
      <c r="BP88" s="62">
        <f t="shared" si="33"/>
        <v>705.17925000000002</v>
      </c>
      <c r="BQ88" s="52">
        <v>50000</v>
      </c>
      <c r="BR88" s="62">
        <f t="shared" si="34"/>
        <v>4587.7950000000001</v>
      </c>
      <c r="BS88" s="52">
        <v>51000</v>
      </c>
      <c r="BT88" s="62">
        <f t="shared" si="35"/>
        <v>4863.4724999999999</v>
      </c>
      <c r="BU88" s="62">
        <v>80</v>
      </c>
      <c r="BV88" s="62">
        <v>23.75</v>
      </c>
      <c r="BY88" s="62">
        <v>80</v>
      </c>
      <c r="BZ88" s="62">
        <v>23.75</v>
      </c>
      <c r="CC88" s="62">
        <v>80</v>
      </c>
      <c r="CD88" s="62">
        <v>23.75</v>
      </c>
      <c r="CG88" s="62">
        <v>80</v>
      </c>
      <c r="CH88" s="62">
        <v>23.75</v>
      </c>
      <c r="CK88" s="62">
        <v>125</v>
      </c>
      <c r="CL88" s="62">
        <v>125</v>
      </c>
      <c r="CM88" s="62">
        <v>125</v>
      </c>
      <c r="CN88" s="62">
        <v>125</v>
      </c>
      <c r="CO88" s="62">
        <v>125</v>
      </c>
      <c r="CP88" s="62">
        <v>125</v>
      </c>
      <c r="CQ88" s="62">
        <v>125</v>
      </c>
      <c r="CR88" s="62">
        <v>125</v>
      </c>
      <c r="CS88" s="130">
        <v>20.899999999999999</v>
      </c>
      <c r="CT88" s="130">
        <v>16.800000000000001</v>
      </c>
      <c r="CU88" s="51" t="s">
        <v>175</v>
      </c>
      <c r="CW88" s="130">
        <v>30.300000000000001</v>
      </c>
      <c r="CX88" s="130">
        <v>14.699999999999999</v>
      </c>
      <c r="CY88" s="51" t="s">
        <v>175</v>
      </c>
      <c r="DA88" s="130">
        <v>68.299999999999997</v>
      </c>
      <c r="DB88" s="130">
        <v>13.1</v>
      </c>
      <c r="DC88" s="51" t="s">
        <v>175</v>
      </c>
      <c r="DE88" s="130">
        <v>147.80000000000001</v>
      </c>
      <c r="DF88" s="130">
        <v>13.1</v>
      </c>
      <c r="DG88" s="51" t="s">
        <v>175</v>
      </c>
      <c r="DI88" s="62">
        <v>140</v>
      </c>
      <c r="DJ88" s="62">
        <v>140</v>
      </c>
      <c r="DK88" s="62">
        <v>140</v>
      </c>
      <c r="DL88" s="62">
        <v>140</v>
      </c>
      <c r="DM88" s="62">
        <v>140</v>
      </c>
      <c r="DN88" s="62">
        <v>140</v>
      </c>
      <c r="DO88" s="62">
        <v>140</v>
      </c>
      <c r="DP88" s="62">
        <v>140</v>
      </c>
    </row>
    <row r="89" s="51" customFormat="1" ht="15.75" customHeight="1">
      <c r="A89" s="52">
        <v>3000000</v>
      </c>
      <c r="B89" s="53" t="s">
        <v>309</v>
      </c>
      <c r="C89" s="54" t="s">
        <v>310</v>
      </c>
      <c r="D89" s="52">
        <v>3310000</v>
      </c>
      <c r="E89" s="54" t="s">
        <v>329</v>
      </c>
      <c r="F89" s="55"/>
      <c r="G89" s="55"/>
      <c r="H89" s="55"/>
      <c r="I89" s="53"/>
      <c r="J89" s="53"/>
      <c r="L89" s="53" t="s">
        <v>336</v>
      </c>
      <c r="M89" s="57" t="s">
        <v>329</v>
      </c>
      <c r="N89" s="57"/>
      <c r="O89" s="57"/>
      <c r="T89" s="57"/>
      <c r="U89" s="51" t="s">
        <v>164</v>
      </c>
      <c r="W89" s="51" t="s">
        <v>315</v>
      </c>
      <c r="X89" s="57" t="s">
        <v>324</v>
      </c>
      <c r="AD89" s="51" t="s">
        <v>170</v>
      </c>
      <c r="AE89" s="51" t="s">
        <v>171</v>
      </c>
      <c r="AF89" s="51" t="s">
        <v>171</v>
      </c>
      <c r="AG89" s="57"/>
      <c r="AH89" s="57"/>
      <c r="AI89" s="57"/>
      <c r="AJ89" s="57"/>
      <c r="AK89" s="57"/>
      <c r="AM89" s="57" t="s">
        <v>319</v>
      </c>
      <c r="AN89" s="106" t="s">
        <v>174</v>
      </c>
      <c r="AO89" s="51">
        <v>500</v>
      </c>
      <c r="AP89" s="60">
        <v>100000</v>
      </c>
      <c r="AQ89" s="64">
        <v>6.7000000000000002</v>
      </c>
      <c r="AR89" s="51" t="s">
        <v>317</v>
      </c>
      <c r="AS89" s="62">
        <f t="shared" si="24"/>
        <v>247.19999999999999</v>
      </c>
      <c r="AT89" s="62">
        <f t="shared" si="25"/>
        <v>103.11750000000001</v>
      </c>
      <c r="AU89" s="63">
        <v>7</v>
      </c>
      <c r="AV89" s="63">
        <v>4</v>
      </c>
      <c r="AW89" s="64">
        <v>24</v>
      </c>
      <c r="AX89" s="62">
        <f t="shared" si="26"/>
        <v>276</v>
      </c>
      <c r="AY89" s="62">
        <f t="shared" si="27"/>
        <v>97.117500000000007</v>
      </c>
      <c r="AZ89" s="63">
        <v>7</v>
      </c>
      <c r="BA89" s="63">
        <v>4</v>
      </c>
      <c r="BB89" s="64">
        <v>15</v>
      </c>
      <c r="BC89" s="62">
        <f t="shared" si="28"/>
        <v>383.51999999999998</v>
      </c>
      <c r="BD89" s="62">
        <f t="shared" si="29"/>
        <v>92.557500000000005</v>
      </c>
      <c r="BE89" s="63">
        <v>8</v>
      </c>
      <c r="BF89" s="63">
        <v>5</v>
      </c>
      <c r="BG89" s="64">
        <v>13</v>
      </c>
      <c r="BH89" s="62">
        <f t="shared" si="30"/>
        <v>632.39999999999998</v>
      </c>
      <c r="BI89" s="62">
        <f t="shared" si="31"/>
        <v>92.557500000000005</v>
      </c>
      <c r="BJ89" s="63">
        <v>10</v>
      </c>
      <c r="BK89" s="63">
        <v>7</v>
      </c>
      <c r="BL89" s="64">
        <v>15</v>
      </c>
      <c r="BM89" s="52">
        <v>5000</v>
      </c>
      <c r="BN89" s="62">
        <f t="shared" si="32"/>
        <v>762.78750000000014</v>
      </c>
      <c r="BO89" s="52">
        <v>5100</v>
      </c>
      <c r="BP89" s="62">
        <f t="shared" si="33"/>
        <v>771.29925000000003</v>
      </c>
      <c r="BQ89" s="52">
        <v>50000</v>
      </c>
      <c r="BR89" s="62">
        <f t="shared" si="34"/>
        <v>5011.3950000000004</v>
      </c>
      <c r="BS89" s="52">
        <v>51000</v>
      </c>
      <c r="BT89" s="62">
        <f t="shared" si="35"/>
        <v>5352.8324999999995</v>
      </c>
      <c r="BU89" s="62">
        <v>80</v>
      </c>
      <c r="BV89" s="62">
        <v>23.75</v>
      </c>
      <c r="BY89" s="62">
        <v>80</v>
      </c>
      <c r="BZ89" s="62">
        <v>23.75</v>
      </c>
      <c r="CC89" s="62">
        <v>80</v>
      </c>
      <c r="CD89" s="62">
        <v>23.75</v>
      </c>
      <c r="CG89" s="62">
        <v>80</v>
      </c>
      <c r="CH89" s="62">
        <v>23.75</v>
      </c>
      <c r="CK89" s="62">
        <v>125</v>
      </c>
      <c r="CL89" s="62">
        <v>125</v>
      </c>
      <c r="CM89" s="62">
        <v>125</v>
      </c>
      <c r="CN89" s="62">
        <v>125</v>
      </c>
      <c r="CO89" s="62">
        <v>125</v>
      </c>
      <c r="CP89" s="62">
        <v>125</v>
      </c>
      <c r="CQ89" s="62">
        <v>125</v>
      </c>
      <c r="CR89" s="62">
        <v>125</v>
      </c>
      <c r="CS89" s="130">
        <v>28</v>
      </c>
      <c r="CT89" s="130">
        <v>20.699999999999999</v>
      </c>
      <c r="CU89" s="51" t="s">
        <v>175</v>
      </c>
      <c r="CW89" s="130">
        <v>40</v>
      </c>
      <c r="CX89" s="130">
        <v>18.199999999999999</v>
      </c>
      <c r="CY89" s="51" t="s">
        <v>175</v>
      </c>
      <c r="DA89" s="130">
        <v>84.799999999999997</v>
      </c>
      <c r="DB89" s="130">
        <v>16.300000000000001</v>
      </c>
      <c r="DC89" s="51" t="s">
        <v>175</v>
      </c>
      <c r="DE89" s="130">
        <v>188.5</v>
      </c>
      <c r="DF89" s="130">
        <v>16.300000000000001</v>
      </c>
      <c r="DG89" s="51" t="s">
        <v>175</v>
      </c>
      <c r="DI89" s="62">
        <v>140</v>
      </c>
      <c r="DJ89" s="62">
        <v>140</v>
      </c>
      <c r="DK89" s="62">
        <v>140</v>
      </c>
      <c r="DL89" s="62">
        <v>140</v>
      </c>
      <c r="DM89" s="62">
        <v>140</v>
      </c>
      <c r="DN89" s="62">
        <v>140</v>
      </c>
      <c r="DO89" s="62">
        <v>140</v>
      </c>
      <c r="DP89" s="62">
        <v>140</v>
      </c>
    </row>
    <row r="90" s="51" customFormat="1" ht="15.75" customHeight="1">
      <c r="A90" s="52">
        <v>3000000</v>
      </c>
      <c r="B90" s="53" t="s">
        <v>309</v>
      </c>
      <c r="C90" s="54" t="s">
        <v>310</v>
      </c>
      <c r="D90" s="52">
        <v>3310000</v>
      </c>
      <c r="E90" s="54" t="s">
        <v>329</v>
      </c>
      <c r="F90" s="55"/>
      <c r="G90" s="55"/>
      <c r="H90" s="55"/>
      <c r="I90" s="53"/>
      <c r="J90" s="53"/>
      <c r="L90" s="53" t="s">
        <v>337</v>
      </c>
      <c r="M90" s="57" t="s">
        <v>329</v>
      </c>
      <c r="N90" s="57"/>
      <c r="O90" s="57"/>
      <c r="T90" s="57"/>
      <c r="U90" s="51" t="s">
        <v>164</v>
      </c>
      <c r="W90" s="51" t="s">
        <v>315</v>
      </c>
      <c r="X90" s="57" t="s">
        <v>327</v>
      </c>
      <c r="AD90" s="51" t="s">
        <v>170</v>
      </c>
      <c r="AE90" s="51" t="s">
        <v>171</v>
      </c>
      <c r="AF90" s="51" t="s">
        <v>171</v>
      </c>
      <c r="AG90" s="57"/>
      <c r="AH90" s="57"/>
      <c r="AI90" s="57"/>
      <c r="AJ90" s="57"/>
      <c r="AK90" s="57"/>
      <c r="AM90" s="57" t="s">
        <v>173</v>
      </c>
      <c r="AN90" s="106" t="s">
        <v>174</v>
      </c>
      <c r="AO90" s="51">
        <v>500</v>
      </c>
      <c r="AP90" s="60">
        <v>100000</v>
      </c>
      <c r="AQ90" s="64">
        <v>7.7999999999999998</v>
      </c>
      <c r="AR90" s="51" t="s">
        <v>317</v>
      </c>
      <c r="AS90" s="62">
        <f t="shared" si="24"/>
        <v>246</v>
      </c>
      <c r="AT90" s="62">
        <f t="shared" si="25"/>
        <v>109.83750000000001</v>
      </c>
      <c r="AU90" s="63">
        <v>7</v>
      </c>
      <c r="AV90" s="63">
        <v>4</v>
      </c>
      <c r="AW90" s="64">
        <v>24</v>
      </c>
      <c r="AX90" s="62">
        <f t="shared" si="26"/>
        <v>276</v>
      </c>
      <c r="AY90" s="62">
        <f t="shared" si="27"/>
        <v>103.11750000000001</v>
      </c>
      <c r="AZ90" s="63">
        <v>7</v>
      </c>
      <c r="BA90" s="63">
        <v>4</v>
      </c>
      <c r="BB90" s="64">
        <v>15</v>
      </c>
      <c r="BC90" s="62">
        <f t="shared" si="28"/>
        <v>375.35999999999996</v>
      </c>
      <c r="BD90" s="62">
        <f t="shared" si="29"/>
        <v>101.19750000000001</v>
      </c>
      <c r="BE90" s="63">
        <v>8</v>
      </c>
      <c r="BF90" s="63">
        <v>5</v>
      </c>
      <c r="BG90" s="64">
        <v>13</v>
      </c>
      <c r="BH90" s="62">
        <f t="shared" si="30"/>
        <v>628.07999999999993</v>
      </c>
      <c r="BI90" s="62">
        <f t="shared" si="31"/>
        <v>100.9575</v>
      </c>
      <c r="BJ90" s="63">
        <v>10</v>
      </c>
      <c r="BK90" s="63">
        <v>7</v>
      </c>
      <c r="BL90" s="64">
        <v>15</v>
      </c>
      <c r="BM90" s="52">
        <v>5000</v>
      </c>
      <c r="BN90" s="62">
        <f t="shared" si="32"/>
        <v>795.1875</v>
      </c>
      <c r="BO90" s="52">
        <v>5100</v>
      </c>
      <c r="BP90" s="62">
        <f t="shared" si="33"/>
        <v>801.89925000000005</v>
      </c>
      <c r="BQ90" s="52">
        <v>50000</v>
      </c>
      <c r="BR90" s="62">
        <f t="shared" si="34"/>
        <v>5435.2349999999997</v>
      </c>
      <c r="BS90" s="52">
        <v>51000</v>
      </c>
      <c r="BT90" s="62">
        <f t="shared" si="35"/>
        <v>5776.9125000000004</v>
      </c>
      <c r="BU90" s="62">
        <v>80</v>
      </c>
      <c r="BV90" s="62">
        <v>23.75</v>
      </c>
      <c r="BY90" s="62">
        <v>80</v>
      </c>
      <c r="BZ90" s="62">
        <v>23.75</v>
      </c>
      <c r="CC90" s="62">
        <v>80</v>
      </c>
      <c r="CD90" s="62">
        <v>23.75</v>
      </c>
      <c r="CG90" s="62">
        <v>80</v>
      </c>
      <c r="CH90" s="62">
        <v>23.75</v>
      </c>
      <c r="CK90" s="62">
        <v>125</v>
      </c>
      <c r="CL90" s="62">
        <v>125</v>
      </c>
      <c r="CM90" s="62">
        <v>125</v>
      </c>
      <c r="CN90" s="62">
        <v>125</v>
      </c>
      <c r="CO90" s="62">
        <v>125</v>
      </c>
      <c r="CP90" s="62">
        <v>125</v>
      </c>
      <c r="CQ90" s="62">
        <v>125</v>
      </c>
      <c r="CR90" s="62">
        <v>125</v>
      </c>
      <c r="CS90" s="130">
        <v>27.5</v>
      </c>
      <c r="CT90" s="130">
        <v>23.5</v>
      </c>
      <c r="CU90" s="51" t="s">
        <v>175</v>
      </c>
      <c r="CW90" s="130">
        <v>40</v>
      </c>
      <c r="CX90" s="130">
        <v>20.699999999999999</v>
      </c>
      <c r="CY90" s="51" t="s">
        <v>175</v>
      </c>
      <c r="DA90" s="130">
        <v>81.400000000000006</v>
      </c>
      <c r="DB90" s="130">
        <v>19.899999999999999</v>
      </c>
      <c r="DC90" s="51" t="s">
        <v>175</v>
      </c>
      <c r="DE90" s="130">
        <v>186.69999999999999</v>
      </c>
      <c r="DF90" s="130">
        <v>19.800000000000001</v>
      </c>
      <c r="DG90" s="51" t="s">
        <v>175</v>
      </c>
      <c r="DI90" s="62">
        <v>140</v>
      </c>
      <c r="DJ90" s="62">
        <v>140</v>
      </c>
      <c r="DK90" s="62">
        <v>140</v>
      </c>
      <c r="DL90" s="62">
        <v>140</v>
      </c>
      <c r="DM90" s="62">
        <v>140</v>
      </c>
      <c r="DN90" s="62">
        <v>140</v>
      </c>
      <c r="DO90" s="62">
        <v>140</v>
      </c>
      <c r="DP90" s="62">
        <v>140</v>
      </c>
    </row>
    <row r="91" s="51" customFormat="1" ht="15.75" customHeight="1">
      <c r="A91" s="52">
        <v>3000000</v>
      </c>
      <c r="B91" s="53" t="s">
        <v>309</v>
      </c>
      <c r="C91" s="54" t="s">
        <v>310</v>
      </c>
      <c r="D91" s="52">
        <v>3310000</v>
      </c>
      <c r="E91" s="54" t="s">
        <v>329</v>
      </c>
      <c r="F91" s="55"/>
      <c r="G91" s="55"/>
      <c r="H91" s="55"/>
      <c r="I91" s="53"/>
      <c r="J91" s="53"/>
      <c r="L91" s="53" t="s">
        <v>338</v>
      </c>
      <c r="M91" s="57" t="s">
        <v>329</v>
      </c>
      <c r="N91" s="57"/>
      <c r="O91" s="57"/>
      <c r="T91" s="57"/>
      <c r="U91" s="51" t="s">
        <v>164</v>
      </c>
      <c r="W91" s="51" t="s">
        <v>315</v>
      </c>
      <c r="X91" s="57" t="s">
        <v>327</v>
      </c>
      <c r="AD91" s="51" t="s">
        <v>170</v>
      </c>
      <c r="AE91" s="51" t="s">
        <v>171</v>
      </c>
      <c r="AF91" s="51" t="s">
        <v>171</v>
      </c>
      <c r="AG91" s="57"/>
      <c r="AH91" s="57"/>
      <c r="AI91" s="57"/>
      <c r="AJ91" s="57"/>
      <c r="AK91" s="57"/>
      <c r="AM91" s="57" t="s">
        <v>319</v>
      </c>
      <c r="AN91" s="106" t="s">
        <v>174</v>
      </c>
      <c r="AO91" s="51">
        <v>500</v>
      </c>
      <c r="AP91" s="60">
        <v>100000</v>
      </c>
      <c r="AQ91" s="64">
        <v>7.7999999999999998</v>
      </c>
      <c r="AR91" s="51" t="s">
        <v>317</v>
      </c>
      <c r="AS91" s="62">
        <f t="shared" si="24"/>
        <v>288</v>
      </c>
      <c r="AT91" s="62">
        <f t="shared" si="25"/>
        <v>111.51750000000001</v>
      </c>
      <c r="AU91" s="63">
        <v>7</v>
      </c>
      <c r="AV91" s="63">
        <v>4</v>
      </c>
      <c r="AW91" s="64">
        <v>24</v>
      </c>
      <c r="AX91" s="62">
        <f t="shared" si="26"/>
        <v>319.19999999999999</v>
      </c>
      <c r="AY91" s="62">
        <f t="shared" si="27"/>
        <v>104.5575</v>
      </c>
      <c r="AZ91" s="63">
        <v>7</v>
      </c>
      <c r="BA91" s="63">
        <v>4</v>
      </c>
      <c r="BB91" s="64">
        <v>15</v>
      </c>
      <c r="BC91" s="62">
        <f t="shared" si="28"/>
        <v>382.07999999999998</v>
      </c>
      <c r="BD91" s="62">
        <f t="shared" si="29"/>
        <v>102.6375</v>
      </c>
      <c r="BE91" s="63">
        <v>8</v>
      </c>
      <c r="BF91" s="63">
        <v>5</v>
      </c>
      <c r="BG91" s="64">
        <v>13</v>
      </c>
      <c r="BH91" s="62">
        <f t="shared" si="30"/>
        <v>644.15999999999997</v>
      </c>
      <c r="BI91" s="62">
        <f t="shared" si="31"/>
        <v>102.39750000000001</v>
      </c>
      <c r="BJ91" s="63">
        <v>10</v>
      </c>
      <c r="BK91" s="63">
        <v>7</v>
      </c>
      <c r="BL91" s="64">
        <v>15</v>
      </c>
      <c r="BM91" s="52">
        <v>5000</v>
      </c>
      <c r="BN91" s="62">
        <f t="shared" si="32"/>
        <v>845.58750000000009</v>
      </c>
      <c r="BO91" s="52">
        <v>5100</v>
      </c>
      <c r="BP91" s="62">
        <f t="shared" si="33"/>
        <v>852.44325000000003</v>
      </c>
      <c r="BQ91" s="52">
        <v>50000</v>
      </c>
      <c r="BR91" s="62">
        <f t="shared" si="34"/>
        <v>5513.9549999999999</v>
      </c>
      <c r="BS91" s="52">
        <v>51000</v>
      </c>
      <c r="BT91" s="62">
        <f t="shared" si="35"/>
        <v>5866.4324999999999</v>
      </c>
      <c r="BU91" s="62">
        <v>80</v>
      </c>
      <c r="BV91" s="62">
        <v>23.75</v>
      </c>
      <c r="BY91" s="62">
        <v>80</v>
      </c>
      <c r="BZ91" s="62">
        <v>23.75</v>
      </c>
      <c r="CC91" s="62">
        <v>80</v>
      </c>
      <c r="CD91" s="62">
        <v>23.75</v>
      </c>
      <c r="CG91" s="62">
        <v>80</v>
      </c>
      <c r="CH91" s="62">
        <v>23.75</v>
      </c>
      <c r="CK91" s="62">
        <v>125</v>
      </c>
      <c r="CL91" s="62">
        <v>125</v>
      </c>
      <c r="CM91" s="62">
        <v>125</v>
      </c>
      <c r="CN91" s="62">
        <v>125</v>
      </c>
      <c r="CO91" s="62">
        <v>125</v>
      </c>
      <c r="CP91" s="62">
        <v>125</v>
      </c>
      <c r="CQ91" s="62">
        <v>125</v>
      </c>
      <c r="CR91" s="62">
        <v>125</v>
      </c>
      <c r="CS91" s="130">
        <v>45</v>
      </c>
      <c r="CT91" s="130">
        <v>24.199999999999999</v>
      </c>
      <c r="CU91" s="51" t="s">
        <v>175</v>
      </c>
      <c r="CW91" s="130">
        <v>58</v>
      </c>
      <c r="CX91" s="130">
        <v>21.300000000000001</v>
      </c>
      <c r="CY91" s="51" t="s">
        <v>175</v>
      </c>
      <c r="DA91" s="130">
        <v>84.200000000000003</v>
      </c>
      <c r="DB91" s="130">
        <v>20.5</v>
      </c>
      <c r="DC91" s="51" t="s">
        <v>175</v>
      </c>
      <c r="DE91" s="130">
        <v>193.40000000000001</v>
      </c>
      <c r="DF91" s="130">
        <v>20.399999999999999</v>
      </c>
      <c r="DG91" s="51" t="s">
        <v>175</v>
      </c>
      <c r="DI91" s="62">
        <v>140</v>
      </c>
      <c r="DJ91" s="62">
        <v>140</v>
      </c>
      <c r="DK91" s="62">
        <v>140</v>
      </c>
      <c r="DL91" s="62">
        <v>140</v>
      </c>
      <c r="DM91" s="62">
        <v>140</v>
      </c>
      <c r="DN91" s="62">
        <v>140</v>
      </c>
      <c r="DO91" s="62">
        <v>140</v>
      </c>
      <c r="DP91" s="62">
        <v>140</v>
      </c>
    </row>
    <row r="92" s="76" customFormat="1" ht="15.75" customHeight="1">
      <c r="A92" s="71">
        <v>3000000</v>
      </c>
      <c r="B92" s="72" t="s">
        <v>309</v>
      </c>
      <c r="C92" s="73" t="s">
        <v>310</v>
      </c>
      <c r="D92" s="71">
        <v>3320000</v>
      </c>
      <c r="E92" s="73" t="s">
        <v>339</v>
      </c>
      <c r="F92" s="74"/>
      <c r="G92" s="74"/>
      <c r="H92" s="74"/>
      <c r="I92" s="72"/>
      <c r="J92" s="72"/>
      <c r="L92" s="72" t="s">
        <v>340</v>
      </c>
      <c r="M92" s="73" t="s">
        <v>339</v>
      </c>
      <c r="N92" s="77" t="s">
        <v>341</v>
      </c>
      <c r="O92" s="77"/>
      <c r="T92" s="77"/>
      <c r="U92" s="76" t="s">
        <v>212</v>
      </c>
      <c r="W92" s="76" t="s">
        <v>315</v>
      </c>
      <c r="X92" s="77" t="s">
        <v>316</v>
      </c>
      <c r="AD92" s="76" t="s">
        <v>170</v>
      </c>
      <c r="AE92" s="76" t="s">
        <v>171</v>
      </c>
      <c r="AF92" s="76" t="s">
        <v>171</v>
      </c>
      <c r="AG92" s="77"/>
      <c r="AH92" s="77"/>
      <c r="AI92" s="77"/>
      <c r="AJ92" s="77"/>
      <c r="AK92" s="77"/>
      <c r="AM92" s="77" t="s">
        <v>173</v>
      </c>
      <c r="AN92" s="99" t="s">
        <v>174</v>
      </c>
      <c r="AO92" s="76">
        <v>500</v>
      </c>
      <c r="AP92" s="82">
        <v>100000</v>
      </c>
      <c r="AQ92" s="86">
        <v>7.7000000000000002</v>
      </c>
      <c r="AR92" s="76" t="s">
        <v>317</v>
      </c>
      <c r="AS92" s="84">
        <f t="shared" si="24"/>
        <v>300</v>
      </c>
      <c r="AT92" s="84">
        <f t="shared" si="25"/>
        <v>129.9975</v>
      </c>
      <c r="AU92" s="85">
        <v>7</v>
      </c>
      <c r="AV92" s="85">
        <v>4</v>
      </c>
      <c r="AW92" s="86">
        <v>24</v>
      </c>
      <c r="AX92" s="84">
        <f t="shared" si="26"/>
        <v>324</v>
      </c>
      <c r="AY92" s="84">
        <f t="shared" si="27"/>
        <v>123.03749999999999</v>
      </c>
      <c r="AZ92" s="85">
        <v>7</v>
      </c>
      <c r="BA92" s="85">
        <v>4</v>
      </c>
      <c r="BB92" s="86">
        <v>15</v>
      </c>
      <c r="BC92" s="84">
        <f t="shared" si="28"/>
        <v>492.95999999999998</v>
      </c>
      <c r="BD92" s="84">
        <f t="shared" si="29"/>
        <v>119.4375</v>
      </c>
      <c r="BE92" s="85">
        <v>8</v>
      </c>
      <c r="BF92" s="85">
        <v>5</v>
      </c>
      <c r="BG92" s="86">
        <v>13</v>
      </c>
      <c r="BH92" s="84">
        <f t="shared" si="30"/>
        <v>848.6400000000001</v>
      </c>
      <c r="BI92" s="84">
        <f t="shared" si="31"/>
        <v>119.19750000000001</v>
      </c>
      <c r="BJ92" s="85">
        <v>10</v>
      </c>
      <c r="BK92" s="85">
        <v>7</v>
      </c>
      <c r="BL92" s="86">
        <v>15</v>
      </c>
      <c r="BM92" s="71">
        <v>5000</v>
      </c>
      <c r="BN92" s="84">
        <f t="shared" si="32"/>
        <v>949.98749999999995</v>
      </c>
      <c r="BO92" s="71">
        <v>10000</v>
      </c>
      <c r="BP92" s="84">
        <f t="shared" si="33"/>
        <v>1554.375</v>
      </c>
      <c r="BQ92" s="71">
        <v>50000</v>
      </c>
      <c r="BR92" s="84">
        <f t="shared" si="34"/>
        <v>6464.835</v>
      </c>
      <c r="BS92" s="71">
        <v>51000</v>
      </c>
      <c r="BT92" s="84">
        <f t="shared" si="35"/>
        <v>6927.7125000000005</v>
      </c>
      <c r="BU92" s="84">
        <v>80</v>
      </c>
      <c r="BV92" s="84">
        <v>23.75</v>
      </c>
      <c r="BY92" s="84">
        <v>80</v>
      </c>
      <c r="BZ92" s="84">
        <v>23.75</v>
      </c>
      <c r="CC92" s="84">
        <v>80</v>
      </c>
      <c r="CD92" s="84">
        <v>23.75</v>
      </c>
      <c r="CG92" s="84">
        <v>80</v>
      </c>
      <c r="CH92" s="84">
        <v>23.75</v>
      </c>
      <c r="CK92" s="84">
        <v>125</v>
      </c>
      <c r="CL92" s="84">
        <v>125</v>
      </c>
      <c r="CM92" s="84">
        <v>125</v>
      </c>
      <c r="CN92" s="84">
        <v>125</v>
      </c>
      <c r="CO92" s="84">
        <v>125</v>
      </c>
      <c r="CP92" s="84">
        <v>125</v>
      </c>
      <c r="CQ92" s="84">
        <v>125</v>
      </c>
      <c r="CR92" s="84">
        <v>125</v>
      </c>
      <c r="CS92" s="112">
        <v>50</v>
      </c>
      <c r="CT92" s="112">
        <v>31.899999999999999</v>
      </c>
      <c r="CU92" s="76" t="s">
        <v>175</v>
      </c>
      <c r="CW92" s="112">
        <v>60</v>
      </c>
      <c r="CX92" s="112">
        <v>29</v>
      </c>
      <c r="CY92" s="76" t="s">
        <v>175</v>
      </c>
      <c r="DA92" s="112">
        <v>130.40000000000001</v>
      </c>
      <c r="DB92" s="112">
        <v>27.5</v>
      </c>
      <c r="DC92" s="76" t="s">
        <v>175</v>
      </c>
      <c r="DE92" s="112">
        <v>278.60000000000002</v>
      </c>
      <c r="DF92" s="112">
        <v>27.399999999999999</v>
      </c>
      <c r="DG92" s="76" t="s">
        <v>175</v>
      </c>
      <c r="DI92" s="84">
        <v>140</v>
      </c>
      <c r="DJ92" s="84">
        <v>140</v>
      </c>
      <c r="DK92" s="84">
        <v>140</v>
      </c>
      <c r="DL92" s="84">
        <v>140</v>
      </c>
      <c r="DM92" s="84">
        <v>140</v>
      </c>
      <c r="DN92" s="84">
        <v>140</v>
      </c>
      <c r="DO92" s="84">
        <v>140</v>
      </c>
      <c r="DP92" s="84">
        <v>140</v>
      </c>
    </row>
    <row r="93" s="76" customFormat="1" ht="15.75" customHeight="1">
      <c r="A93" s="71">
        <v>3000000</v>
      </c>
      <c r="B93" s="72" t="s">
        <v>309</v>
      </c>
      <c r="C93" s="73" t="s">
        <v>310</v>
      </c>
      <c r="D93" s="71">
        <v>3320000</v>
      </c>
      <c r="E93" s="73" t="s">
        <v>339</v>
      </c>
      <c r="F93" s="74"/>
      <c r="G93" s="74"/>
      <c r="H93" s="74"/>
      <c r="I93" s="72"/>
      <c r="J93" s="72"/>
      <c r="L93" s="72" t="s">
        <v>342</v>
      </c>
      <c r="M93" s="73" t="s">
        <v>339</v>
      </c>
      <c r="N93" s="77" t="s">
        <v>341</v>
      </c>
      <c r="O93" s="77"/>
      <c r="T93" s="77"/>
      <c r="U93" s="76" t="s">
        <v>212</v>
      </c>
      <c r="W93" s="76" t="s">
        <v>315</v>
      </c>
      <c r="X93" s="77" t="s">
        <v>316</v>
      </c>
      <c r="AD93" s="76" t="s">
        <v>170</v>
      </c>
      <c r="AE93" s="76" t="s">
        <v>171</v>
      </c>
      <c r="AF93" s="76" t="s">
        <v>171</v>
      </c>
      <c r="AG93" s="77"/>
      <c r="AH93" s="77"/>
      <c r="AI93" s="77"/>
      <c r="AJ93" s="77"/>
      <c r="AK93" s="77"/>
      <c r="AM93" s="77" t="s">
        <v>319</v>
      </c>
      <c r="AN93" s="99" t="s">
        <v>174</v>
      </c>
      <c r="AO93" s="76">
        <v>500</v>
      </c>
      <c r="AP93" s="82">
        <v>100000</v>
      </c>
      <c r="AQ93" s="86">
        <v>7.7000000000000002</v>
      </c>
      <c r="AR93" s="76" t="s">
        <v>317</v>
      </c>
      <c r="AS93" s="84">
        <f t="shared" si="24"/>
        <v>312</v>
      </c>
      <c r="AT93" s="84">
        <f t="shared" si="25"/>
        <v>150.63749999999999</v>
      </c>
      <c r="AU93" s="85">
        <v>7</v>
      </c>
      <c r="AV93" s="85">
        <v>4</v>
      </c>
      <c r="AW93" s="86">
        <v>24</v>
      </c>
      <c r="AX93" s="84">
        <f t="shared" si="26"/>
        <v>336</v>
      </c>
      <c r="AY93" s="84">
        <f t="shared" si="27"/>
        <v>140.07749999999999</v>
      </c>
      <c r="AZ93" s="85">
        <v>7</v>
      </c>
      <c r="BA93" s="85">
        <v>4</v>
      </c>
      <c r="BB93" s="86">
        <v>15</v>
      </c>
      <c r="BC93" s="84">
        <f t="shared" si="28"/>
        <v>542.39999999999998</v>
      </c>
      <c r="BD93" s="84">
        <f t="shared" si="29"/>
        <v>137.91750000000002</v>
      </c>
      <c r="BE93" s="85">
        <v>8</v>
      </c>
      <c r="BF93" s="85">
        <v>5</v>
      </c>
      <c r="BG93" s="86">
        <v>13</v>
      </c>
      <c r="BH93" s="84">
        <f t="shared" si="30"/>
        <v>912</v>
      </c>
      <c r="BI93" s="84">
        <f t="shared" si="31"/>
        <v>137.4375</v>
      </c>
      <c r="BJ93" s="85">
        <v>10</v>
      </c>
      <c r="BK93" s="85">
        <v>7</v>
      </c>
      <c r="BL93" s="86">
        <v>15</v>
      </c>
      <c r="BM93" s="71">
        <v>5000</v>
      </c>
      <c r="BN93" s="84">
        <f t="shared" si="32"/>
        <v>1065.1875</v>
      </c>
      <c r="BO93" s="71">
        <v>5100</v>
      </c>
      <c r="BP93" s="84">
        <f t="shared" si="33"/>
        <v>1050.39525</v>
      </c>
      <c r="BQ93" s="71">
        <v>50000</v>
      </c>
      <c r="BR93" s="84">
        <f t="shared" si="34"/>
        <v>7438.2750000000005</v>
      </c>
      <c r="BS93" s="71">
        <v>51000</v>
      </c>
      <c r="BT93" s="84">
        <f t="shared" si="35"/>
        <v>7921.3125</v>
      </c>
      <c r="BU93" s="84">
        <v>80</v>
      </c>
      <c r="BV93" s="84">
        <v>23.75</v>
      </c>
      <c r="BY93" s="84">
        <v>80</v>
      </c>
      <c r="BZ93" s="84">
        <v>23.75</v>
      </c>
      <c r="CC93" s="84">
        <v>80</v>
      </c>
      <c r="CD93" s="84">
        <v>23.75</v>
      </c>
      <c r="CG93" s="84">
        <v>80</v>
      </c>
      <c r="CH93" s="84">
        <v>23.75</v>
      </c>
      <c r="CK93" s="84">
        <v>125</v>
      </c>
      <c r="CL93" s="84">
        <v>125</v>
      </c>
      <c r="CM93" s="84">
        <v>125</v>
      </c>
      <c r="CN93" s="84">
        <v>125</v>
      </c>
      <c r="CO93" s="84">
        <v>125</v>
      </c>
      <c r="CP93" s="84">
        <v>125</v>
      </c>
      <c r="CQ93" s="84">
        <v>125</v>
      </c>
      <c r="CR93" s="84">
        <v>125</v>
      </c>
      <c r="CS93" s="112">
        <v>55</v>
      </c>
      <c r="CT93" s="112">
        <v>40.5</v>
      </c>
      <c r="CU93" s="76" t="s">
        <v>175</v>
      </c>
      <c r="CW93" s="112">
        <v>65</v>
      </c>
      <c r="CX93" s="112">
        <v>36.100000000000001</v>
      </c>
      <c r="CY93" s="76" t="s">
        <v>175</v>
      </c>
      <c r="DA93" s="112">
        <v>151</v>
      </c>
      <c r="DB93" s="112">
        <v>35.200000000000003</v>
      </c>
      <c r="DC93" s="76" t="s">
        <v>175</v>
      </c>
      <c r="DE93" s="112">
        <v>305</v>
      </c>
      <c r="DF93" s="112">
        <v>35</v>
      </c>
      <c r="DG93" s="76" t="s">
        <v>175</v>
      </c>
      <c r="DI93" s="84">
        <v>140</v>
      </c>
      <c r="DJ93" s="84">
        <v>140</v>
      </c>
      <c r="DK93" s="84">
        <v>140</v>
      </c>
      <c r="DL93" s="84">
        <v>140</v>
      </c>
      <c r="DM93" s="84">
        <v>140</v>
      </c>
      <c r="DN93" s="84">
        <v>140</v>
      </c>
      <c r="DO93" s="84">
        <v>140</v>
      </c>
      <c r="DP93" s="84">
        <v>140</v>
      </c>
    </row>
    <row r="94" s="76" customFormat="1" ht="15.75" customHeight="1">
      <c r="A94" s="71">
        <v>3000000</v>
      </c>
      <c r="B94" s="72" t="s">
        <v>309</v>
      </c>
      <c r="C94" s="73" t="s">
        <v>310</v>
      </c>
      <c r="D94" s="71">
        <v>3320000</v>
      </c>
      <c r="E94" s="73" t="s">
        <v>339</v>
      </c>
      <c r="F94" s="74"/>
      <c r="G94" s="74"/>
      <c r="H94" s="74"/>
      <c r="I94" s="72"/>
      <c r="J94" s="72"/>
      <c r="L94" s="72" t="s">
        <v>343</v>
      </c>
      <c r="M94" s="73" t="s">
        <v>339</v>
      </c>
      <c r="N94" s="77" t="s">
        <v>341</v>
      </c>
      <c r="O94" s="77"/>
      <c r="T94" s="77"/>
      <c r="U94" s="76" t="s">
        <v>212</v>
      </c>
      <c r="W94" s="76" t="s">
        <v>315</v>
      </c>
      <c r="X94" s="77" t="s">
        <v>321</v>
      </c>
      <c r="AD94" s="76" t="s">
        <v>170</v>
      </c>
      <c r="AE94" s="76" t="s">
        <v>171</v>
      </c>
      <c r="AF94" s="76" t="s">
        <v>171</v>
      </c>
      <c r="AG94" s="77"/>
      <c r="AH94" s="77"/>
      <c r="AI94" s="77"/>
      <c r="AJ94" s="77"/>
      <c r="AK94" s="77"/>
      <c r="AM94" s="77" t="s">
        <v>173</v>
      </c>
      <c r="AN94" s="99" t="s">
        <v>174</v>
      </c>
      <c r="AO94" s="76">
        <v>500</v>
      </c>
      <c r="AP94" s="82">
        <v>100000</v>
      </c>
      <c r="AQ94" s="86">
        <v>8.9000000000000004</v>
      </c>
      <c r="AR94" s="76" t="s">
        <v>317</v>
      </c>
      <c r="AS94" s="84">
        <f t="shared" si="24"/>
        <v>312</v>
      </c>
      <c r="AT94" s="84">
        <f t="shared" si="25"/>
        <v>145.5975</v>
      </c>
      <c r="AU94" s="85">
        <v>7</v>
      </c>
      <c r="AV94" s="85">
        <v>4</v>
      </c>
      <c r="AW94" s="86">
        <v>24</v>
      </c>
      <c r="AX94" s="84">
        <f t="shared" si="26"/>
        <v>336</v>
      </c>
      <c r="AY94" s="84">
        <f t="shared" si="27"/>
        <v>137.4375</v>
      </c>
      <c r="AZ94" s="85">
        <v>7</v>
      </c>
      <c r="BA94" s="85">
        <v>4</v>
      </c>
      <c r="BB94" s="86">
        <v>15</v>
      </c>
      <c r="BC94" s="84">
        <f t="shared" si="28"/>
        <v>508.07999999999998</v>
      </c>
      <c r="BD94" s="84">
        <f t="shared" si="29"/>
        <v>133.11750000000001</v>
      </c>
      <c r="BE94" s="85">
        <v>8</v>
      </c>
      <c r="BF94" s="85">
        <v>5</v>
      </c>
      <c r="BG94" s="86">
        <v>13</v>
      </c>
      <c r="BH94" s="84">
        <f t="shared" si="30"/>
        <v>924.72000000000003</v>
      </c>
      <c r="BI94" s="84">
        <f t="shared" si="31"/>
        <v>132.63749999999999</v>
      </c>
      <c r="BJ94" s="85">
        <v>10</v>
      </c>
      <c r="BK94" s="85">
        <v>7</v>
      </c>
      <c r="BL94" s="86">
        <v>15</v>
      </c>
      <c r="BM94" s="71">
        <v>5000</v>
      </c>
      <c r="BN94" s="84">
        <f t="shared" si="32"/>
        <v>1039.9875</v>
      </c>
      <c r="BO94" s="71">
        <v>5100</v>
      </c>
      <c r="BP94" s="84">
        <f t="shared" si="33"/>
        <v>1036.9312500000001</v>
      </c>
      <c r="BQ94" s="71">
        <v>50000</v>
      </c>
      <c r="BR94" s="84">
        <f t="shared" si="34"/>
        <v>7163.9549999999999</v>
      </c>
      <c r="BS94" s="71">
        <v>51000</v>
      </c>
      <c r="BT94" s="84">
        <f t="shared" si="35"/>
        <v>7689.2324999999992</v>
      </c>
      <c r="BU94" s="84">
        <v>80</v>
      </c>
      <c r="BV94" s="84">
        <v>23.75</v>
      </c>
      <c r="BY94" s="84">
        <v>80</v>
      </c>
      <c r="BZ94" s="84">
        <v>23.75</v>
      </c>
      <c r="CC94" s="84">
        <v>80</v>
      </c>
      <c r="CD94" s="84">
        <v>23.75</v>
      </c>
      <c r="CG94" s="84">
        <v>80</v>
      </c>
      <c r="CH94" s="84">
        <v>23.75</v>
      </c>
      <c r="CK94" s="84">
        <v>125</v>
      </c>
      <c r="CL94" s="84">
        <v>125</v>
      </c>
      <c r="CM94" s="84">
        <v>125</v>
      </c>
      <c r="CN94" s="84">
        <v>125</v>
      </c>
      <c r="CO94" s="84">
        <v>125</v>
      </c>
      <c r="CP94" s="84">
        <v>125</v>
      </c>
      <c r="CQ94" s="84">
        <v>125</v>
      </c>
      <c r="CR94" s="84">
        <v>125</v>
      </c>
      <c r="CS94" s="112">
        <v>55</v>
      </c>
      <c r="CT94" s="112">
        <v>38.399999999999999</v>
      </c>
      <c r="CU94" s="76" t="s">
        <v>175</v>
      </c>
      <c r="CW94" s="112">
        <v>65</v>
      </c>
      <c r="CX94" s="112">
        <v>35</v>
      </c>
      <c r="CY94" s="76" t="s">
        <v>175</v>
      </c>
      <c r="DA94" s="112">
        <v>136.69999999999999</v>
      </c>
      <c r="DB94" s="112">
        <v>33.200000000000003</v>
      </c>
      <c r="DC94" s="76" t="s">
        <v>175</v>
      </c>
      <c r="DE94" s="112">
        <v>310.30000000000001</v>
      </c>
      <c r="DF94" s="112">
        <v>33</v>
      </c>
      <c r="DG94" s="76" t="s">
        <v>175</v>
      </c>
      <c r="DI94" s="84">
        <v>140</v>
      </c>
      <c r="DJ94" s="84">
        <v>140</v>
      </c>
      <c r="DK94" s="84">
        <v>140</v>
      </c>
      <c r="DL94" s="84">
        <v>140</v>
      </c>
      <c r="DM94" s="84">
        <v>140</v>
      </c>
      <c r="DN94" s="84">
        <v>140</v>
      </c>
      <c r="DO94" s="84">
        <v>140</v>
      </c>
      <c r="DP94" s="84">
        <v>140</v>
      </c>
    </row>
    <row r="95" s="76" customFormat="1" ht="15.75" customHeight="1">
      <c r="A95" s="71">
        <v>3000000</v>
      </c>
      <c r="B95" s="72" t="s">
        <v>309</v>
      </c>
      <c r="C95" s="73" t="s">
        <v>310</v>
      </c>
      <c r="D95" s="71">
        <v>3320000</v>
      </c>
      <c r="E95" s="73" t="s">
        <v>339</v>
      </c>
      <c r="F95" s="74"/>
      <c r="G95" s="74"/>
      <c r="H95" s="74"/>
      <c r="I95" s="72"/>
      <c r="J95" s="72"/>
      <c r="L95" s="72" t="s">
        <v>344</v>
      </c>
      <c r="M95" s="73" t="s">
        <v>339</v>
      </c>
      <c r="N95" s="77" t="s">
        <v>341</v>
      </c>
      <c r="O95" s="77"/>
      <c r="T95" s="77"/>
      <c r="U95" s="76" t="s">
        <v>212</v>
      </c>
      <c r="W95" s="76" t="s">
        <v>315</v>
      </c>
      <c r="X95" s="77" t="s">
        <v>321</v>
      </c>
      <c r="AD95" s="76" t="s">
        <v>170</v>
      </c>
      <c r="AE95" s="76" t="s">
        <v>171</v>
      </c>
      <c r="AF95" s="76" t="s">
        <v>171</v>
      </c>
      <c r="AG95" s="77"/>
      <c r="AH95" s="77"/>
      <c r="AI95" s="77"/>
      <c r="AJ95" s="77"/>
      <c r="AK95" s="77"/>
      <c r="AM95" s="77" t="s">
        <v>319</v>
      </c>
      <c r="AN95" s="99" t="s">
        <v>174</v>
      </c>
      <c r="AO95" s="76">
        <v>500</v>
      </c>
      <c r="AP95" s="82">
        <v>100000</v>
      </c>
      <c r="AQ95" s="86">
        <v>8.9000000000000004</v>
      </c>
      <c r="AR95" s="76" t="s">
        <v>317</v>
      </c>
      <c r="AS95" s="84">
        <f t="shared" si="24"/>
        <v>348</v>
      </c>
      <c r="AT95" s="84">
        <f t="shared" si="25"/>
        <v>167.4375</v>
      </c>
      <c r="AU95" s="85">
        <v>7</v>
      </c>
      <c r="AV95" s="85">
        <v>4</v>
      </c>
      <c r="AW95" s="86">
        <v>24</v>
      </c>
      <c r="AX95" s="84">
        <f t="shared" si="26"/>
        <v>372</v>
      </c>
      <c r="AY95" s="84">
        <f t="shared" si="27"/>
        <v>161.4375</v>
      </c>
      <c r="AZ95" s="85">
        <v>7</v>
      </c>
      <c r="BA95" s="85">
        <v>4</v>
      </c>
      <c r="BB95" s="86">
        <v>15</v>
      </c>
      <c r="BC95" s="84">
        <f t="shared" si="28"/>
        <v>584.39999999999998</v>
      </c>
      <c r="BD95" s="84">
        <f t="shared" si="29"/>
        <v>152.3175</v>
      </c>
      <c r="BE95" s="85">
        <v>8</v>
      </c>
      <c r="BF95" s="85">
        <v>5</v>
      </c>
      <c r="BG95" s="86">
        <v>13</v>
      </c>
      <c r="BH95" s="84">
        <f t="shared" si="30"/>
        <v>1110.96</v>
      </c>
      <c r="BI95" s="84">
        <f t="shared" si="31"/>
        <v>151.35749999999999</v>
      </c>
      <c r="BJ95" s="85">
        <v>10</v>
      </c>
      <c r="BK95" s="85">
        <v>7</v>
      </c>
      <c r="BL95" s="86">
        <v>15</v>
      </c>
      <c r="BM95" s="71">
        <v>5000</v>
      </c>
      <c r="BN95" s="84">
        <f t="shared" si="32"/>
        <v>1185.1875</v>
      </c>
      <c r="BO95" s="71">
        <v>5100</v>
      </c>
      <c r="BP95" s="84">
        <f t="shared" si="33"/>
        <v>1195.33125</v>
      </c>
      <c r="BQ95" s="71">
        <v>50000</v>
      </c>
      <c r="BR95" s="84">
        <f t="shared" si="34"/>
        <v>8200.2749999999996</v>
      </c>
      <c r="BS95" s="71">
        <v>51000</v>
      </c>
      <c r="BT95" s="84">
        <f t="shared" si="35"/>
        <v>8830.1924999999992</v>
      </c>
      <c r="BU95" s="84">
        <v>80</v>
      </c>
      <c r="BV95" s="84">
        <v>23.75</v>
      </c>
      <c r="BY95" s="84">
        <v>80</v>
      </c>
      <c r="BZ95" s="84">
        <v>23.75</v>
      </c>
      <c r="CC95" s="84">
        <v>80</v>
      </c>
      <c r="CD95" s="84">
        <v>23.75</v>
      </c>
      <c r="CG95" s="84">
        <v>80</v>
      </c>
      <c r="CH95" s="84">
        <v>23.75</v>
      </c>
      <c r="CK95" s="84">
        <v>125</v>
      </c>
      <c r="CL95" s="84">
        <v>125</v>
      </c>
      <c r="CM95" s="84">
        <v>125</v>
      </c>
      <c r="CN95" s="84">
        <v>125</v>
      </c>
      <c r="CO95" s="84">
        <v>125</v>
      </c>
      <c r="CP95" s="84">
        <v>125</v>
      </c>
      <c r="CQ95" s="84">
        <v>125</v>
      </c>
      <c r="CR95" s="84">
        <v>125</v>
      </c>
      <c r="CS95" s="112">
        <v>70</v>
      </c>
      <c r="CT95" s="112">
        <v>47.5</v>
      </c>
      <c r="CU95" s="76" t="s">
        <v>175</v>
      </c>
      <c r="CW95" s="112">
        <v>80</v>
      </c>
      <c r="CX95" s="112">
        <v>45</v>
      </c>
      <c r="CY95" s="76" t="s">
        <v>175</v>
      </c>
      <c r="DA95" s="112">
        <v>168.5</v>
      </c>
      <c r="DB95" s="112">
        <v>41.200000000000003</v>
      </c>
      <c r="DC95" s="76" t="s">
        <v>175</v>
      </c>
      <c r="DE95" s="112">
        <v>387.89999999999998</v>
      </c>
      <c r="DF95" s="112">
        <v>40.799999999999997</v>
      </c>
      <c r="DG95" s="76" t="s">
        <v>175</v>
      </c>
      <c r="DI95" s="84">
        <v>140</v>
      </c>
      <c r="DJ95" s="84">
        <v>140</v>
      </c>
      <c r="DK95" s="84">
        <v>140</v>
      </c>
      <c r="DL95" s="84">
        <v>140</v>
      </c>
      <c r="DM95" s="84">
        <v>140</v>
      </c>
      <c r="DN95" s="84">
        <v>140</v>
      </c>
      <c r="DO95" s="84">
        <v>140</v>
      </c>
      <c r="DP95" s="84">
        <v>140</v>
      </c>
    </row>
    <row r="96" s="76" customFormat="1" ht="15.75" customHeight="1">
      <c r="A96" s="71">
        <v>3000000</v>
      </c>
      <c r="B96" s="72" t="s">
        <v>309</v>
      </c>
      <c r="C96" s="73" t="s">
        <v>310</v>
      </c>
      <c r="D96" s="71">
        <v>3320000</v>
      </c>
      <c r="E96" s="73" t="s">
        <v>339</v>
      </c>
      <c r="F96" s="74"/>
      <c r="G96" s="74"/>
      <c r="H96" s="74"/>
      <c r="I96" s="72"/>
      <c r="J96" s="72"/>
      <c r="L96" s="72" t="s">
        <v>345</v>
      </c>
      <c r="M96" s="73" t="s">
        <v>339</v>
      </c>
      <c r="N96" s="77" t="s">
        <v>341</v>
      </c>
      <c r="O96" s="77"/>
      <c r="T96" s="77"/>
      <c r="U96" s="76" t="s">
        <v>212</v>
      </c>
      <c r="W96" s="76" t="s">
        <v>315</v>
      </c>
      <c r="X96" s="77" t="s">
        <v>324</v>
      </c>
      <c r="AD96" s="76" t="s">
        <v>170</v>
      </c>
      <c r="AE96" s="76" t="s">
        <v>171</v>
      </c>
      <c r="AF96" s="76" t="s">
        <v>171</v>
      </c>
      <c r="AG96" s="77"/>
      <c r="AH96" s="77"/>
      <c r="AI96" s="77"/>
      <c r="AJ96" s="77"/>
      <c r="AK96" s="77"/>
      <c r="AM96" s="77" t="s">
        <v>173</v>
      </c>
      <c r="AN96" s="99" t="s">
        <v>174</v>
      </c>
      <c r="AO96" s="76">
        <v>500</v>
      </c>
      <c r="AP96" s="82">
        <v>100000</v>
      </c>
      <c r="AQ96" s="86">
        <v>8.9000000000000004</v>
      </c>
      <c r="AR96" s="76" t="s">
        <v>317</v>
      </c>
      <c r="AS96" s="84">
        <f t="shared" si="24"/>
        <v>264</v>
      </c>
      <c r="AT96" s="84">
        <f t="shared" si="25"/>
        <v>101.4375</v>
      </c>
      <c r="AU96" s="85">
        <v>7</v>
      </c>
      <c r="AV96" s="85">
        <v>4</v>
      </c>
      <c r="AW96" s="86">
        <v>24</v>
      </c>
      <c r="AX96" s="84">
        <f t="shared" si="26"/>
        <v>288</v>
      </c>
      <c r="AY96" s="84">
        <f t="shared" si="27"/>
        <v>99.517499999999998</v>
      </c>
      <c r="AZ96" s="85">
        <v>7</v>
      </c>
      <c r="BA96" s="85">
        <v>4</v>
      </c>
      <c r="BB96" s="86">
        <v>15</v>
      </c>
      <c r="BC96" s="84">
        <f t="shared" si="28"/>
        <v>400.32000000000005</v>
      </c>
      <c r="BD96" s="84">
        <f t="shared" si="29"/>
        <v>97.837500000000006</v>
      </c>
      <c r="BE96" s="85">
        <v>8</v>
      </c>
      <c r="BF96" s="85">
        <v>5</v>
      </c>
      <c r="BG96" s="86">
        <v>13</v>
      </c>
      <c r="BH96" s="84">
        <f t="shared" si="30"/>
        <v>690.72000000000003</v>
      </c>
      <c r="BI96" s="84">
        <f t="shared" si="31"/>
        <v>97.117500000000007</v>
      </c>
      <c r="BJ96" s="85">
        <v>10</v>
      </c>
      <c r="BK96" s="85">
        <v>7</v>
      </c>
      <c r="BL96" s="86">
        <v>15</v>
      </c>
      <c r="BM96" s="71">
        <v>5000</v>
      </c>
      <c r="BN96" s="84">
        <f t="shared" si="32"/>
        <v>771.1875</v>
      </c>
      <c r="BO96" s="71">
        <v>5100</v>
      </c>
      <c r="BP96" s="84">
        <f t="shared" si="33"/>
        <v>795.53925000000004</v>
      </c>
      <c r="BQ96" s="71">
        <v>50000</v>
      </c>
      <c r="BR96" s="84">
        <f t="shared" si="34"/>
        <v>5292.1949999999997</v>
      </c>
      <c r="BS96" s="71">
        <v>51000</v>
      </c>
      <c r="BT96" s="84">
        <f t="shared" si="35"/>
        <v>5643.7125000000005</v>
      </c>
      <c r="BU96" s="84">
        <v>80</v>
      </c>
      <c r="BV96" s="84">
        <v>23.75</v>
      </c>
      <c r="BY96" s="84">
        <v>80</v>
      </c>
      <c r="BZ96" s="84">
        <v>23.75</v>
      </c>
      <c r="CC96" s="84">
        <v>80</v>
      </c>
      <c r="CD96" s="84">
        <v>23.75</v>
      </c>
      <c r="CG96" s="84">
        <v>80</v>
      </c>
      <c r="CH96" s="84">
        <v>23.75</v>
      </c>
      <c r="CK96" s="84">
        <v>125</v>
      </c>
      <c r="CL96" s="84">
        <v>125</v>
      </c>
      <c r="CM96" s="84">
        <v>125</v>
      </c>
      <c r="CN96" s="84">
        <v>125</v>
      </c>
      <c r="CO96" s="84">
        <v>125</v>
      </c>
      <c r="CP96" s="84">
        <v>125</v>
      </c>
      <c r="CQ96" s="84">
        <v>125</v>
      </c>
      <c r="CR96" s="84">
        <v>125</v>
      </c>
      <c r="CS96" s="112">
        <v>35</v>
      </c>
      <c r="CT96" s="112">
        <v>20</v>
      </c>
      <c r="CU96" s="76" t="s">
        <v>175</v>
      </c>
      <c r="CW96" s="112">
        <v>45</v>
      </c>
      <c r="CX96" s="112">
        <v>19.199999999999999</v>
      </c>
      <c r="CY96" s="76" t="s">
        <v>175</v>
      </c>
      <c r="DA96" s="112">
        <v>91.799999999999997</v>
      </c>
      <c r="DB96" s="112">
        <v>18.5</v>
      </c>
      <c r="DC96" s="76" t="s">
        <v>175</v>
      </c>
      <c r="DE96" s="112">
        <v>212.80000000000001</v>
      </c>
      <c r="DF96" s="112">
        <v>18.199999999999999</v>
      </c>
      <c r="DG96" s="76" t="s">
        <v>175</v>
      </c>
      <c r="DI96" s="84">
        <v>140</v>
      </c>
      <c r="DJ96" s="84">
        <v>140</v>
      </c>
      <c r="DK96" s="84">
        <v>140</v>
      </c>
      <c r="DL96" s="84">
        <v>140</v>
      </c>
      <c r="DM96" s="84">
        <v>140</v>
      </c>
      <c r="DN96" s="84">
        <v>140</v>
      </c>
      <c r="DO96" s="84">
        <v>140</v>
      </c>
      <c r="DP96" s="84">
        <v>140</v>
      </c>
    </row>
    <row r="97" s="76" customFormat="1" ht="15.75" customHeight="1">
      <c r="A97" s="71">
        <v>3000000</v>
      </c>
      <c r="B97" s="72" t="s">
        <v>309</v>
      </c>
      <c r="C97" s="73" t="s">
        <v>310</v>
      </c>
      <c r="D97" s="71">
        <v>3320000</v>
      </c>
      <c r="E97" s="73" t="s">
        <v>339</v>
      </c>
      <c r="F97" s="74"/>
      <c r="G97" s="74"/>
      <c r="H97" s="74"/>
      <c r="I97" s="72"/>
      <c r="J97" s="72"/>
      <c r="L97" s="72" t="s">
        <v>346</v>
      </c>
      <c r="M97" s="73" t="s">
        <v>339</v>
      </c>
      <c r="N97" s="77" t="s">
        <v>341</v>
      </c>
      <c r="O97" s="77"/>
      <c r="T97" s="77"/>
      <c r="U97" s="76" t="s">
        <v>212</v>
      </c>
      <c r="W97" s="76" t="s">
        <v>315</v>
      </c>
      <c r="X97" s="77" t="s">
        <v>324</v>
      </c>
      <c r="AD97" s="76" t="s">
        <v>170</v>
      </c>
      <c r="AE97" s="76" t="s">
        <v>171</v>
      </c>
      <c r="AF97" s="76" t="s">
        <v>171</v>
      </c>
      <c r="AG97" s="77"/>
      <c r="AH97" s="77"/>
      <c r="AI97" s="77"/>
      <c r="AJ97" s="77"/>
      <c r="AK97" s="77"/>
      <c r="AM97" s="77" t="s">
        <v>319</v>
      </c>
      <c r="AN97" s="99" t="s">
        <v>174</v>
      </c>
      <c r="AO97" s="76">
        <v>500</v>
      </c>
      <c r="AP97" s="82">
        <v>100000</v>
      </c>
      <c r="AQ97" s="86">
        <v>8.9000000000000004</v>
      </c>
      <c r="AR97" s="76" t="s">
        <v>317</v>
      </c>
      <c r="AS97" s="84">
        <f t="shared" si="24"/>
        <v>276</v>
      </c>
      <c r="AT97" s="84">
        <f t="shared" si="25"/>
        <v>107.67749999999999</v>
      </c>
      <c r="AU97" s="85">
        <v>7</v>
      </c>
      <c r="AV97" s="85">
        <v>4</v>
      </c>
      <c r="AW97" s="86">
        <v>24</v>
      </c>
      <c r="AX97" s="84">
        <f t="shared" si="26"/>
        <v>300</v>
      </c>
      <c r="AY97" s="84">
        <f t="shared" si="27"/>
        <v>105.5175</v>
      </c>
      <c r="AZ97" s="85">
        <v>7</v>
      </c>
      <c r="BA97" s="85">
        <v>4</v>
      </c>
      <c r="BB97" s="86">
        <v>15</v>
      </c>
      <c r="BC97" s="84">
        <f t="shared" si="28"/>
        <v>432.24000000000001</v>
      </c>
      <c r="BD97" s="84">
        <f t="shared" si="29"/>
        <v>103.83750000000001</v>
      </c>
      <c r="BE97" s="85">
        <v>8</v>
      </c>
      <c r="BF97" s="85">
        <v>5</v>
      </c>
      <c r="BG97" s="86">
        <v>13</v>
      </c>
      <c r="BH97" s="84">
        <f t="shared" si="30"/>
        <v>766.31999999999994</v>
      </c>
      <c r="BI97" s="84">
        <f t="shared" si="31"/>
        <v>102.8775</v>
      </c>
      <c r="BJ97" s="85">
        <v>10</v>
      </c>
      <c r="BK97" s="85">
        <v>7</v>
      </c>
      <c r="BL97" s="86">
        <v>15</v>
      </c>
      <c r="BM97" s="71">
        <v>5000</v>
      </c>
      <c r="BN97" s="84">
        <f t="shared" si="32"/>
        <v>814.38750000000005</v>
      </c>
      <c r="BO97" s="71">
        <v>5100</v>
      </c>
      <c r="BP97" s="84">
        <f t="shared" si="33"/>
        <v>838.13924999999995</v>
      </c>
      <c r="BQ97" s="71">
        <v>50000</v>
      </c>
      <c r="BR97" s="84">
        <f t="shared" si="34"/>
        <v>5624.1149999999998</v>
      </c>
      <c r="BS97" s="71">
        <v>51000</v>
      </c>
      <c r="BT97" s="84">
        <f t="shared" si="35"/>
        <v>6013.0724999999993</v>
      </c>
      <c r="BU97" s="84">
        <v>80</v>
      </c>
      <c r="BV97" s="84">
        <v>23.75</v>
      </c>
      <c r="BY97" s="84">
        <v>80</v>
      </c>
      <c r="BZ97" s="84">
        <v>23.75</v>
      </c>
      <c r="CC97" s="84">
        <v>80</v>
      </c>
      <c r="CD97" s="84">
        <v>23.75</v>
      </c>
      <c r="CG97" s="84">
        <v>80</v>
      </c>
      <c r="CH97" s="84">
        <v>23.75</v>
      </c>
      <c r="CK97" s="84">
        <v>125</v>
      </c>
      <c r="CL97" s="84">
        <v>125</v>
      </c>
      <c r="CM97" s="84">
        <v>125</v>
      </c>
      <c r="CN97" s="84">
        <v>125</v>
      </c>
      <c r="CO97" s="84">
        <v>125</v>
      </c>
      <c r="CP97" s="84">
        <v>125</v>
      </c>
      <c r="CQ97" s="84">
        <v>125</v>
      </c>
      <c r="CR97" s="84">
        <v>125</v>
      </c>
      <c r="CS97" s="112">
        <v>40</v>
      </c>
      <c r="CT97" s="112">
        <v>22.600000000000001</v>
      </c>
      <c r="CU97" s="76" t="s">
        <v>175</v>
      </c>
      <c r="CW97" s="152">
        <v>50</v>
      </c>
      <c r="CX97" s="152">
        <v>21.699999999999999</v>
      </c>
      <c r="CY97" s="76" t="s">
        <v>175</v>
      </c>
      <c r="DA97" s="112">
        <v>105.09999999999999</v>
      </c>
      <c r="DB97" s="112">
        <v>21</v>
      </c>
      <c r="DC97" s="76" t="s">
        <v>175</v>
      </c>
      <c r="DE97" s="112">
        <v>244.30000000000001</v>
      </c>
      <c r="DF97" s="112">
        <v>20.600000000000001</v>
      </c>
      <c r="DG97" s="76" t="s">
        <v>175</v>
      </c>
      <c r="DI97" s="84">
        <v>140</v>
      </c>
      <c r="DJ97" s="84">
        <v>140</v>
      </c>
      <c r="DK97" s="84">
        <v>140</v>
      </c>
      <c r="DL97" s="84">
        <v>140</v>
      </c>
      <c r="DM97" s="84">
        <v>140</v>
      </c>
      <c r="DN97" s="84">
        <v>140</v>
      </c>
      <c r="DO97" s="84">
        <v>140</v>
      </c>
      <c r="DP97" s="84">
        <v>140</v>
      </c>
    </row>
    <row r="98" s="76" customFormat="1" ht="15.75" customHeight="1">
      <c r="A98" s="71">
        <v>3000000</v>
      </c>
      <c r="B98" s="72" t="s">
        <v>309</v>
      </c>
      <c r="C98" s="73" t="s">
        <v>310</v>
      </c>
      <c r="D98" s="71">
        <v>3320000</v>
      </c>
      <c r="E98" s="73" t="s">
        <v>339</v>
      </c>
      <c r="F98" s="74"/>
      <c r="G98" s="74"/>
      <c r="H98" s="74"/>
      <c r="I98" s="72"/>
      <c r="J98" s="72"/>
      <c r="L98" s="72" t="s">
        <v>347</v>
      </c>
      <c r="M98" s="73" t="s">
        <v>339</v>
      </c>
      <c r="N98" s="77" t="s">
        <v>341</v>
      </c>
      <c r="O98" s="77"/>
      <c r="T98" s="77"/>
      <c r="U98" s="76" t="s">
        <v>212</v>
      </c>
      <c r="W98" s="76" t="s">
        <v>315</v>
      </c>
      <c r="X98" s="77" t="s">
        <v>327</v>
      </c>
      <c r="AD98" s="76" t="s">
        <v>170</v>
      </c>
      <c r="AE98" s="76" t="s">
        <v>171</v>
      </c>
      <c r="AF98" s="76" t="s">
        <v>171</v>
      </c>
      <c r="AG98" s="77"/>
      <c r="AH98" s="77"/>
      <c r="AI98" s="77"/>
      <c r="AJ98" s="77"/>
      <c r="AK98" s="77"/>
      <c r="AM98" s="77" t="s">
        <v>173</v>
      </c>
      <c r="AN98" s="99" t="s">
        <v>174</v>
      </c>
      <c r="AO98" s="76">
        <v>500</v>
      </c>
      <c r="AP98" s="82">
        <v>100000</v>
      </c>
      <c r="AQ98" s="86">
        <v>10.4</v>
      </c>
      <c r="AR98" s="76" t="s">
        <v>317</v>
      </c>
      <c r="AS98" s="84">
        <f t="shared" si="24"/>
        <v>288</v>
      </c>
      <c r="AT98" s="84">
        <f t="shared" si="25"/>
        <v>136.7175</v>
      </c>
      <c r="AU98" s="85">
        <v>7</v>
      </c>
      <c r="AV98" s="85">
        <v>4</v>
      </c>
      <c r="AW98" s="86">
        <v>24</v>
      </c>
      <c r="AX98" s="84">
        <f t="shared" si="26"/>
        <v>324</v>
      </c>
      <c r="AY98" s="84">
        <f t="shared" si="27"/>
        <v>127.35749999999999</v>
      </c>
      <c r="AZ98" s="85">
        <v>7</v>
      </c>
      <c r="BA98" s="85">
        <v>4</v>
      </c>
      <c r="BB98" s="86">
        <v>15</v>
      </c>
      <c r="BC98" s="84">
        <f t="shared" si="28"/>
        <v>476.88</v>
      </c>
      <c r="BD98" s="84">
        <f t="shared" si="29"/>
        <v>126.1575</v>
      </c>
      <c r="BE98" s="85">
        <v>8</v>
      </c>
      <c r="BF98" s="85">
        <v>5</v>
      </c>
      <c r="BG98" s="86">
        <v>13</v>
      </c>
      <c r="BH98" s="84">
        <f t="shared" si="30"/>
        <v>856.07999999999993</v>
      </c>
      <c r="BI98" s="84">
        <f t="shared" si="31"/>
        <v>125.4375</v>
      </c>
      <c r="BJ98" s="85">
        <v>10</v>
      </c>
      <c r="BK98" s="85">
        <v>7</v>
      </c>
      <c r="BL98" s="86">
        <v>15</v>
      </c>
      <c r="BM98" s="71">
        <v>5000</v>
      </c>
      <c r="BN98" s="84">
        <f t="shared" si="32"/>
        <v>971.58749999999998</v>
      </c>
      <c r="BO98" s="71">
        <v>5100</v>
      </c>
      <c r="BP98" s="84">
        <f t="shared" si="33"/>
        <v>973.52324999999985</v>
      </c>
      <c r="BQ98" s="71">
        <v>50000</v>
      </c>
      <c r="BR98" s="84">
        <f t="shared" si="34"/>
        <v>6784.7550000000001</v>
      </c>
      <c r="BS98" s="71">
        <v>51000</v>
      </c>
      <c r="BT98" s="84">
        <f t="shared" si="35"/>
        <v>7253.3924999999999</v>
      </c>
      <c r="BU98" s="84">
        <v>80</v>
      </c>
      <c r="BV98" s="84">
        <v>23.75</v>
      </c>
      <c r="BY98" s="84">
        <v>80</v>
      </c>
      <c r="BZ98" s="84">
        <v>23.75</v>
      </c>
      <c r="CC98" s="84">
        <v>80</v>
      </c>
      <c r="CD98" s="84">
        <v>23.75</v>
      </c>
      <c r="CG98" s="84">
        <v>80</v>
      </c>
      <c r="CH98" s="84">
        <v>23.75</v>
      </c>
      <c r="CK98" s="84">
        <v>125</v>
      </c>
      <c r="CL98" s="84">
        <v>125</v>
      </c>
      <c r="CM98" s="84">
        <v>125</v>
      </c>
      <c r="CN98" s="84">
        <v>125</v>
      </c>
      <c r="CO98" s="84">
        <v>125</v>
      </c>
      <c r="CP98" s="84">
        <v>125</v>
      </c>
      <c r="CQ98" s="84">
        <v>125</v>
      </c>
      <c r="CR98" s="84">
        <v>125</v>
      </c>
      <c r="CS98" s="112">
        <v>45</v>
      </c>
      <c r="CT98" s="112">
        <v>34.700000000000003</v>
      </c>
      <c r="CU98" s="76" t="s">
        <v>175</v>
      </c>
      <c r="CW98" s="112">
        <v>60</v>
      </c>
      <c r="CX98" s="112">
        <v>30.800000000000001</v>
      </c>
      <c r="CY98" s="76" t="s">
        <v>175</v>
      </c>
      <c r="DA98" s="112">
        <v>123.7</v>
      </c>
      <c r="DB98" s="112">
        <v>30.300000000000001</v>
      </c>
      <c r="DC98" s="76" t="s">
        <v>175</v>
      </c>
      <c r="DE98" s="112">
        <v>281.69999999999999</v>
      </c>
      <c r="DF98" s="112">
        <v>30</v>
      </c>
      <c r="DG98" s="76" t="s">
        <v>175</v>
      </c>
      <c r="DI98" s="84">
        <v>140</v>
      </c>
      <c r="DJ98" s="84">
        <v>140</v>
      </c>
      <c r="DK98" s="84">
        <v>140</v>
      </c>
      <c r="DL98" s="84">
        <v>140</v>
      </c>
      <c r="DM98" s="84">
        <v>140</v>
      </c>
      <c r="DN98" s="84">
        <v>140</v>
      </c>
      <c r="DO98" s="84">
        <v>140</v>
      </c>
      <c r="DP98" s="84">
        <v>140</v>
      </c>
    </row>
    <row r="99" s="76" customFormat="1" ht="15.75" customHeight="1">
      <c r="A99" s="71">
        <v>3000000</v>
      </c>
      <c r="B99" s="72" t="s">
        <v>309</v>
      </c>
      <c r="C99" s="73" t="s">
        <v>310</v>
      </c>
      <c r="D99" s="71">
        <v>3320000</v>
      </c>
      <c r="E99" s="73" t="s">
        <v>339</v>
      </c>
      <c r="F99" s="74"/>
      <c r="G99" s="74"/>
      <c r="H99" s="74"/>
      <c r="I99" s="72"/>
      <c r="J99" s="72"/>
      <c r="L99" s="72" t="s">
        <v>348</v>
      </c>
      <c r="M99" s="73" t="s">
        <v>339</v>
      </c>
      <c r="N99" s="77" t="s">
        <v>341</v>
      </c>
      <c r="O99" s="77"/>
      <c r="T99" s="77"/>
      <c r="U99" s="76" t="s">
        <v>212</v>
      </c>
      <c r="W99" s="76" t="s">
        <v>315</v>
      </c>
      <c r="X99" s="77" t="s">
        <v>327</v>
      </c>
      <c r="AD99" s="76" t="s">
        <v>170</v>
      </c>
      <c r="AE99" s="76" t="s">
        <v>171</v>
      </c>
      <c r="AF99" s="76" t="s">
        <v>171</v>
      </c>
      <c r="AG99" s="77"/>
      <c r="AH99" s="77"/>
      <c r="AI99" s="77"/>
      <c r="AJ99" s="77"/>
      <c r="AK99" s="77"/>
      <c r="AM99" s="77" t="s">
        <v>319</v>
      </c>
      <c r="AN99" s="99" t="s">
        <v>174</v>
      </c>
      <c r="AO99" s="76">
        <v>500</v>
      </c>
      <c r="AP99" s="82">
        <v>100000</v>
      </c>
      <c r="AQ99" s="86">
        <v>10.4</v>
      </c>
      <c r="AR99" s="76" t="s">
        <v>317</v>
      </c>
      <c r="AS99" s="84">
        <f t="shared" si="24"/>
        <v>312</v>
      </c>
      <c r="AT99" s="84">
        <f t="shared" si="25"/>
        <v>139.11750000000001</v>
      </c>
      <c r="AU99" s="85">
        <v>7</v>
      </c>
      <c r="AV99" s="85">
        <v>4</v>
      </c>
      <c r="AW99" s="86">
        <v>24</v>
      </c>
      <c r="AX99" s="84">
        <f t="shared" si="26"/>
        <v>331.19999999999999</v>
      </c>
      <c r="AY99" s="84">
        <f t="shared" si="27"/>
        <v>130.23750000000001</v>
      </c>
      <c r="AZ99" s="85">
        <v>7</v>
      </c>
      <c r="BA99" s="85">
        <v>4</v>
      </c>
      <c r="BB99" s="86">
        <v>15</v>
      </c>
      <c r="BC99" s="84">
        <f t="shared" si="28"/>
        <v>486.95999999999998</v>
      </c>
      <c r="BD99" s="84">
        <f t="shared" si="29"/>
        <v>127.83750000000001</v>
      </c>
      <c r="BE99" s="85">
        <v>8</v>
      </c>
      <c r="BF99" s="85">
        <v>5</v>
      </c>
      <c r="BG99" s="86">
        <v>13</v>
      </c>
      <c r="BH99" s="84">
        <f t="shared" si="30"/>
        <v>879.3599999999999</v>
      </c>
      <c r="BI99" s="84">
        <f t="shared" si="31"/>
        <v>127.11750000000001</v>
      </c>
      <c r="BJ99" s="85">
        <v>10</v>
      </c>
      <c r="BK99" s="85">
        <v>7</v>
      </c>
      <c r="BL99" s="86">
        <v>15</v>
      </c>
      <c r="BM99" s="71">
        <v>5000</v>
      </c>
      <c r="BN99" s="84">
        <f t="shared" si="32"/>
        <v>1007.5875</v>
      </c>
      <c r="BO99" s="71">
        <v>5100</v>
      </c>
      <c r="BP99" s="84">
        <f t="shared" si="33"/>
        <v>995.41124999999988</v>
      </c>
      <c r="BQ99" s="71">
        <v>50000</v>
      </c>
      <c r="BR99" s="84">
        <f t="shared" si="34"/>
        <v>6878.835</v>
      </c>
      <c r="BS99" s="71">
        <v>51000</v>
      </c>
      <c r="BT99" s="84">
        <f t="shared" si="35"/>
        <v>7362.3525</v>
      </c>
      <c r="BU99" s="84">
        <v>80</v>
      </c>
      <c r="BV99" s="84">
        <v>23.75</v>
      </c>
      <c r="BY99" s="84">
        <v>80</v>
      </c>
      <c r="BZ99" s="84">
        <v>23.75</v>
      </c>
      <c r="CC99" s="84">
        <v>80</v>
      </c>
      <c r="CD99" s="84">
        <v>23.75</v>
      </c>
      <c r="CG99" s="84">
        <v>80</v>
      </c>
      <c r="CH99" s="84">
        <v>23.75</v>
      </c>
      <c r="CK99" s="84">
        <v>125</v>
      </c>
      <c r="CL99" s="84">
        <v>125</v>
      </c>
      <c r="CM99" s="84">
        <v>125</v>
      </c>
      <c r="CN99" s="84">
        <v>125</v>
      </c>
      <c r="CO99" s="84">
        <v>125</v>
      </c>
      <c r="CP99" s="84">
        <v>125</v>
      </c>
      <c r="CQ99" s="84">
        <v>125</v>
      </c>
      <c r="CR99" s="84">
        <v>125</v>
      </c>
      <c r="CS99" s="112">
        <v>55</v>
      </c>
      <c r="CT99" s="112">
        <v>35.700000000000003</v>
      </c>
      <c r="CU99" s="76" t="s">
        <v>175</v>
      </c>
      <c r="CW99" s="112">
        <v>63</v>
      </c>
      <c r="CX99" s="112">
        <v>32</v>
      </c>
      <c r="CY99" s="76" t="s">
        <v>175</v>
      </c>
      <c r="DA99" s="112">
        <v>127.90000000000001</v>
      </c>
      <c r="DB99" s="112">
        <v>31</v>
      </c>
      <c r="DC99" s="76" t="s">
        <v>175</v>
      </c>
      <c r="DE99" s="112">
        <v>291.39999999999998</v>
      </c>
      <c r="DF99" s="112">
        <v>30.699999999999999</v>
      </c>
      <c r="DG99" s="76" t="s">
        <v>175</v>
      </c>
      <c r="DI99" s="84">
        <v>140</v>
      </c>
      <c r="DJ99" s="84">
        <v>140</v>
      </c>
      <c r="DK99" s="84">
        <v>140</v>
      </c>
      <c r="DL99" s="84">
        <v>140</v>
      </c>
      <c r="DM99" s="84">
        <v>140</v>
      </c>
      <c r="DN99" s="84">
        <v>140</v>
      </c>
      <c r="DO99" s="84">
        <v>140</v>
      </c>
      <c r="DP99" s="84">
        <v>140</v>
      </c>
    </row>
    <row r="100" s="51" customFormat="1" ht="15.75" customHeight="1">
      <c r="A100" s="52">
        <v>3000000</v>
      </c>
      <c r="B100" s="53" t="s">
        <v>309</v>
      </c>
      <c r="C100" s="54" t="s">
        <v>310</v>
      </c>
      <c r="D100" s="52">
        <v>3330000</v>
      </c>
      <c r="E100" s="54" t="s">
        <v>349</v>
      </c>
      <c r="F100" s="55"/>
      <c r="G100" s="55"/>
      <c r="H100" s="55"/>
      <c r="I100" s="53"/>
      <c r="J100" s="53"/>
      <c r="L100" s="53" t="s">
        <v>350</v>
      </c>
      <c r="M100" s="54" t="s">
        <v>349</v>
      </c>
      <c r="N100" s="57" t="s">
        <v>351</v>
      </c>
      <c r="O100" s="57"/>
      <c r="T100" s="57"/>
      <c r="U100" s="51" t="s">
        <v>247</v>
      </c>
      <c r="W100" s="51" t="s">
        <v>315</v>
      </c>
      <c r="X100" s="57" t="s">
        <v>316</v>
      </c>
      <c r="AD100" s="51" t="s">
        <v>170</v>
      </c>
      <c r="AE100" s="51" t="s">
        <v>171</v>
      </c>
      <c r="AF100" s="51" t="s">
        <v>171</v>
      </c>
      <c r="AG100" s="57"/>
      <c r="AH100" s="57"/>
      <c r="AI100" s="57"/>
      <c r="AJ100" s="57"/>
      <c r="AK100" s="57"/>
      <c r="AM100" s="57" t="s">
        <v>173</v>
      </c>
      <c r="AN100" s="106" t="s">
        <v>174</v>
      </c>
      <c r="AO100" s="51">
        <v>500</v>
      </c>
      <c r="AP100" s="60">
        <v>100000</v>
      </c>
      <c r="AQ100" s="64">
        <v>4.0999999999999996</v>
      </c>
      <c r="AR100" s="51" t="s">
        <v>317</v>
      </c>
      <c r="AS100" s="62">
        <f t="shared" ref="AS100:AS124" si="36">BU100+(BU100*CK100/100)+CS100+(CS100*DI100/100)</f>
        <v>230.88</v>
      </c>
      <c r="AT100" s="62">
        <f t="shared" ref="AT100:AT124" si="37">BV100+(BV100*CL100/100)+CT100+(CT100*DJ100/100)</f>
        <v>86.077499999999986</v>
      </c>
      <c r="AU100" s="63">
        <v>7</v>
      </c>
      <c r="AV100" s="63">
        <v>4</v>
      </c>
      <c r="AW100" s="64">
        <v>24</v>
      </c>
      <c r="AX100" s="62">
        <f t="shared" ref="AX100:AX124" si="38">BY100+(BY100*CM100/100)+CW100+(CW100*DK100/100)</f>
        <v>236.40000000000001</v>
      </c>
      <c r="AY100" s="62">
        <f t="shared" ref="AY100:AY124" si="39">BZ100+(BZ100*CN100/100)+CX100+(CX100*DL100/100)</f>
        <v>82.717500000000001</v>
      </c>
      <c r="AZ100" s="63">
        <v>7</v>
      </c>
      <c r="BA100" s="63">
        <v>4</v>
      </c>
      <c r="BB100" s="64">
        <v>15</v>
      </c>
      <c r="BC100" s="62">
        <f t="shared" ref="BC100:BC124" si="40">CC100+(CC100*CO100/100)+DA100+(DA100*DM100/100)</f>
        <v>312.24000000000001</v>
      </c>
      <c r="BD100" s="62">
        <f t="shared" ref="BD100:BD124" si="41">CD100+(CD100*CP100/100)+DB100+(DB100*DN100/100)</f>
        <v>81.517499999999998</v>
      </c>
      <c r="BE100" s="63">
        <v>8</v>
      </c>
      <c r="BF100" s="63">
        <v>5</v>
      </c>
      <c r="BG100" s="64">
        <v>13</v>
      </c>
      <c r="BH100" s="62">
        <f t="shared" ref="BH100:BH124" si="42">CG100+(CG100*CQ100/100)+DE100+(DE100*DO100/100)</f>
        <v>470.88</v>
      </c>
      <c r="BI100" s="62">
        <f t="shared" ref="BI100:BI124" si="43">CH100+(CH100*CR100/100)+DF100+(DF100*DP100/100)</f>
        <v>81.277499999999989</v>
      </c>
      <c r="BJ100" s="63">
        <v>10</v>
      </c>
      <c r="BK100" s="63">
        <v>7</v>
      </c>
      <c r="BL100" s="64">
        <v>15</v>
      </c>
      <c r="BM100" s="52">
        <v>5000</v>
      </c>
      <c r="BN100" s="62">
        <f t="shared" ref="BN100:BN124" si="44">IF(BM100&gt;0,AS100+(AT100*BM100/1000),"")</f>
        <v>661.26749999999993</v>
      </c>
      <c r="BO100" s="52">
        <v>5100</v>
      </c>
      <c r="BP100" s="62">
        <f t="shared" ref="BP100:BP124" si="45">IF(BO100&gt;0,AX100+(AY100*BO100/1000),"")</f>
        <v>658.25924999999995</v>
      </c>
      <c r="BQ100" s="52">
        <v>50000</v>
      </c>
      <c r="BR100" s="62">
        <f t="shared" ref="BR100:BR124" si="46">IF(BQ100&gt;0,BC100+(BD100*BQ100/1000),"")</f>
        <v>4388.1149999999998</v>
      </c>
      <c r="BS100" s="52">
        <v>51000</v>
      </c>
      <c r="BT100" s="62">
        <f t="shared" ref="BT100:BT124" si="47">IF(BS100&gt;0,BH100+(BI100*BS100/1000),"")</f>
        <v>4616.0324999999993</v>
      </c>
      <c r="BU100" s="62">
        <v>80</v>
      </c>
      <c r="BV100" s="62">
        <v>23.75</v>
      </c>
      <c r="BY100" s="62">
        <v>80</v>
      </c>
      <c r="BZ100" s="62">
        <v>23.75</v>
      </c>
      <c r="CC100" s="62">
        <v>80</v>
      </c>
      <c r="CD100" s="62">
        <v>23.75</v>
      </c>
      <c r="CG100" s="62">
        <v>80</v>
      </c>
      <c r="CH100" s="62">
        <v>23.75</v>
      </c>
      <c r="CK100" s="62">
        <v>125</v>
      </c>
      <c r="CL100" s="62">
        <v>125</v>
      </c>
      <c r="CM100" s="62">
        <v>125</v>
      </c>
      <c r="CN100" s="62">
        <v>125</v>
      </c>
      <c r="CO100" s="62">
        <v>125</v>
      </c>
      <c r="CP100" s="62">
        <v>125</v>
      </c>
      <c r="CQ100" s="62">
        <v>125</v>
      </c>
      <c r="CR100" s="62">
        <v>125</v>
      </c>
      <c r="CS100" s="130">
        <v>21.199999999999999</v>
      </c>
      <c r="CT100" s="130">
        <v>13.6</v>
      </c>
      <c r="CU100" s="51" t="s">
        <v>175</v>
      </c>
      <c r="CW100" s="130">
        <v>23.5</v>
      </c>
      <c r="CX100" s="130">
        <v>12.199999999999999</v>
      </c>
      <c r="CY100" s="51" t="s">
        <v>175</v>
      </c>
      <c r="DA100" s="130">
        <v>55.100000000000001</v>
      </c>
      <c r="DB100" s="130">
        <v>11.699999999999999</v>
      </c>
      <c r="DC100" s="51" t="s">
        <v>175</v>
      </c>
      <c r="DE100" s="130">
        <v>121.2</v>
      </c>
      <c r="DF100" s="130">
        <v>11.6</v>
      </c>
      <c r="DG100" s="51" t="s">
        <v>175</v>
      </c>
      <c r="DI100" s="62">
        <v>140</v>
      </c>
      <c r="DJ100" s="62">
        <v>140</v>
      </c>
      <c r="DK100" s="62">
        <v>140</v>
      </c>
      <c r="DL100" s="62">
        <v>140</v>
      </c>
      <c r="DM100" s="62">
        <v>140</v>
      </c>
      <c r="DN100" s="62">
        <v>140</v>
      </c>
      <c r="DO100" s="62">
        <v>140</v>
      </c>
      <c r="DP100" s="62">
        <v>140</v>
      </c>
    </row>
    <row r="101" s="51" customFormat="1" ht="15.75" customHeight="1">
      <c r="A101" s="52">
        <v>3000000</v>
      </c>
      <c r="B101" s="53" t="s">
        <v>309</v>
      </c>
      <c r="C101" s="54" t="s">
        <v>310</v>
      </c>
      <c r="D101" s="52">
        <v>3330000</v>
      </c>
      <c r="E101" s="54" t="s">
        <v>349</v>
      </c>
      <c r="F101" s="55"/>
      <c r="G101" s="55"/>
      <c r="H101" s="55"/>
      <c r="I101" s="53"/>
      <c r="J101" s="53"/>
      <c r="L101" s="53" t="s">
        <v>352</v>
      </c>
      <c r="M101" s="54" t="s">
        <v>349</v>
      </c>
      <c r="N101" s="57" t="s">
        <v>351</v>
      </c>
      <c r="O101" s="57"/>
      <c r="T101" s="57"/>
      <c r="U101" s="51" t="s">
        <v>247</v>
      </c>
      <c r="W101" s="51" t="s">
        <v>315</v>
      </c>
      <c r="X101" s="57" t="s">
        <v>316</v>
      </c>
      <c r="AD101" s="51" t="s">
        <v>170</v>
      </c>
      <c r="AE101" s="51" t="s">
        <v>171</v>
      </c>
      <c r="AF101" s="51" t="s">
        <v>171</v>
      </c>
      <c r="AG101" s="57"/>
      <c r="AH101" s="57"/>
      <c r="AI101" s="57"/>
      <c r="AJ101" s="57"/>
      <c r="AK101" s="57"/>
      <c r="AM101" s="57" t="s">
        <v>319</v>
      </c>
      <c r="AN101" s="106" t="s">
        <v>174</v>
      </c>
      <c r="AO101" s="51">
        <v>500</v>
      </c>
      <c r="AP101" s="60">
        <v>100000</v>
      </c>
      <c r="AQ101" s="64">
        <v>4.0999999999999996</v>
      </c>
      <c r="AR101" s="51" t="s">
        <v>317</v>
      </c>
      <c r="AS101" s="62">
        <f t="shared" si="36"/>
        <v>242.88</v>
      </c>
      <c r="AT101" s="62">
        <f t="shared" si="37"/>
        <v>94.717500000000001</v>
      </c>
      <c r="AU101" s="63">
        <v>7</v>
      </c>
      <c r="AV101" s="63">
        <v>4</v>
      </c>
      <c r="AW101" s="64">
        <v>24</v>
      </c>
      <c r="AX101" s="62">
        <f t="shared" si="38"/>
        <v>242.40000000000001</v>
      </c>
      <c r="AY101" s="62">
        <f t="shared" si="39"/>
        <v>90.637500000000003</v>
      </c>
      <c r="AZ101" s="63">
        <v>7</v>
      </c>
      <c r="BA101" s="63">
        <v>4</v>
      </c>
      <c r="BB101" s="64">
        <v>15</v>
      </c>
      <c r="BC101" s="62">
        <f t="shared" si="40"/>
        <v>336.96000000000004</v>
      </c>
      <c r="BD101" s="62">
        <f t="shared" si="41"/>
        <v>89.197500000000005</v>
      </c>
      <c r="BE101" s="63">
        <v>8</v>
      </c>
      <c r="BF101" s="63">
        <v>5</v>
      </c>
      <c r="BG101" s="64">
        <v>13</v>
      </c>
      <c r="BH101" s="62">
        <f t="shared" si="42"/>
        <v>496.07999999999998</v>
      </c>
      <c r="BI101" s="62">
        <f t="shared" si="43"/>
        <v>89.197500000000005</v>
      </c>
      <c r="BJ101" s="63">
        <v>10</v>
      </c>
      <c r="BK101" s="63">
        <v>7</v>
      </c>
      <c r="BL101" s="64">
        <v>15</v>
      </c>
      <c r="BM101" s="52">
        <v>5000</v>
      </c>
      <c r="BN101" s="62">
        <f t="shared" si="44"/>
        <v>716.46749999999997</v>
      </c>
      <c r="BO101" s="52">
        <v>5100</v>
      </c>
      <c r="BP101" s="62">
        <f t="shared" si="45"/>
        <v>704.65125</v>
      </c>
      <c r="BQ101" s="52">
        <v>50000</v>
      </c>
      <c r="BR101" s="62">
        <f t="shared" si="46"/>
        <v>4796.835</v>
      </c>
      <c r="BS101" s="52">
        <v>51000</v>
      </c>
      <c r="BT101" s="62">
        <f t="shared" si="47"/>
        <v>5045.1525000000001</v>
      </c>
      <c r="BU101" s="62">
        <v>80</v>
      </c>
      <c r="BV101" s="62">
        <v>23.75</v>
      </c>
      <c r="BY101" s="62">
        <v>80</v>
      </c>
      <c r="BZ101" s="62">
        <v>23.75</v>
      </c>
      <c r="CC101" s="62">
        <v>80</v>
      </c>
      <c r="CD101" s="62">
        <v>23.75</v>
      </c>
      <c r="CG101" s="62">
        <v>80</v>
      </c>
      <c r="CH101" s="62">
        <v>23.75</v>
      </c>
      <c r="CK101" s="62">
        <v>125</v>
      </c>
      <c r="CL101" s="62">
        <v>125</v>
      </c>
      <c r="CM101" s="62">
        <v>125</v>
      </c>
      <c r="CN101" s="62">
        <v>125</v>
      </c>
      <c r="CO101" s="62">
        <v>125</v>
      </c>
      <c r="CP101" s="62">
        <v>125</v>
      </c>
      <c r="CQ101" s="62">
        <v>125</v>
      </c>
      <c r="CR101" s="62">
        <v>125</v>
      </c>
      <c r="CS101" s="130">
        <v>26.199999999999999</v>
      </c>
      <c r="CT101" s="130">
        <v>17.199999999999999</v>
      </c>
      <c r="CU101" s="51" t="s">
        <v>175</v>
      </c>
      <c r="CW101" s="130">
        <v>26</v>
      </c>
      <c r="CX101" s="130">
        <v>15.5</v>
      </c>
      <c r="CY101" s="51" t="s">
        <v>175</v>
      </c>
      <c r="DA101" s="130">
        <v>65.400000000000006</v>
      </c>
      <c r="DB101" s="130">
        <v>14.9</v>
      </c>
      <c r="DC101" s="51" t="s">
        <v>175</v>
      </c>
      <c r="DE101" s="130">
        <v>131.69999999999999</v>
      </c>
      <c r="DF101" s="130">
        <v>14.9</v>
      </c>
      <c r="DG101" s="51" t="s">
        <v>175</v>
      </c>
      <c r="DI101" s="62">
        <v>140</v>
      </c>
      <c r="DJ101" s="62">
        <v>140</v>
      </c>
      <c r="DK101" s="62">
        <v>140</v>
      </c>
      <c r="DL101" s="62">
        <v>140</v>
      </c>
      <c r="DM101" s="62">
        <v>140</v>
      </c>
      <c r="DN101" s="62">
        <v>140</v>
      </c>
      <c r="DO101" s="62">
        <v>140</v>
      </c>
      <c r="DP101" s="62">
        <v>140</v>
      </c>
    </row>
    <row r="102" s="51" customFormat="1" ht="15.75" customHeight="1">
      <c r="A102" s="52">
        <v>3000000</v>
      </c>
      <c r="B102" s="53" t="s">
        <v>309</v>
      </c>
      <c r="C102" s="54" t="s">
        <v>310</v>
      </c>
      <c r="D102" s="52">
        <v>3330000</v>
      </c>
      <c r="E102" s="54" t="s">
        <v>349</v>
      </c>
      <c r="F102" s="55"/>
      <c r="G102" s="55"/>
      <c r="H102" s="55"/>
      <c r="I102" s="53"/>
      <c r="J102" s="53"/>
      <c r="L102" s="53" t="s">
        <v>353</v>
      </c>
      <c r="M102" s="54" t="s">
        <v>349</v>
      </c>
      <c r="N102" s="57" t="s">
        <v>351</v>
      </c>
      <c r="O102" s="57"/>
      <c r="T102" s="57"/>
      <c r="U102" s="51" t="s">
        <v>247</v>
      </c>
      <c r="W102" s="51" t="s">
        <v>315</v>
      </c>
      <c r="X102" s="57" t="s">
        <v>321</v>
      </c>
      <c r="AD102" s="51" t="s">
        <v>170</v>
      </c>
      <c r="AE102" s="51" t="s">
        <v>171</v>
      </c>
      <c r="AF102" s="51" t="s">
        <v>171</v>
      </c>
      <c r="AG102" s="57"/>
      <c r="AH102" s="57"/>
      <c r="AI102" s="57"/>
      <c r="AJ102" s="57"/>
      <c r="AK102" s="57"/>
      <c r="AM102" s="57" t="s">
        <v>173</v>
      </c>
      <c r="AN102" s="106" t="s">
        <v>174</v>
      </c>
      <c r="AO102" s="51">
        <v>500</v>
      </c>
      <c r="AP102" s="60">
        <v>100000</v>
      </c>
      <c r="AQ102" s="64">
        <v>4.7000000000000002</v>
      </c>
      <c r="AR102" s="51" t="s">
        <v>317</v>
      </c>
      <c r="AS102" s="62">
        <f t="shared" si="36"/>
        <v>235.92000000000002</v>
      </c>
      <c r="AT102" s="62">
        <f t="shared" si="37"/>
        <v>93.277499999999989</v>
      </c>
      <c r="AU102" s="63">
        <v>7</v>
      </c>
      <c r="AV102" s="63">
        <v>4</v>
      </c>
      <c r="AW102" s="64">
        <v>24</v>
      </c>
      <c r="AX102" s="62">
        <f t="shared" si="38"/>
        <v>240</v>
      </c>
      <c r="AY102" s="62">
        <f t="shared" si="39"/>
        <v>88.717500000000001</v>
      </c>
      <c r="AZ102" s="63">
        <v>7</v>
      </c>
      <c r="BA102" s="63">
        <v>4</v>
      </c>
      <c r="BB102" s="64">
        <v>15</v>
      </c>
      <c r="BC102" s="62">
        <f t="shared" si="40"/>
        <v>317.51999999999998</v>
      </c>
      <c r="BD102" s="62">
        <f t="shared" si="41"/>
        <v>87.757499999999993</v>
      </c>
      <c r="BE102" s="63">
        <v>8</v>
      </c>
      <c r="BF102" s="63">
        <v>5</v>
      </c>
      <c r="BG102" s="64">
        <v>13</v>
      </c>
      <c r="BH102" s="62">
        <f t="shared" si="42"/>
        <v>500.63999999999999</v>
      </c>
      <c r="BI102" s="62">
        <f t="shared" si="43"/>
        <v>87.517499999999998</v>
      </c>
      <c r="BJ102" s="63">
        <v>10</v>
      </c>
      <c r="BK102" s="63">
        <v>7</v>
      </c>
      <c r="BL102" s="64">
        <v>15</v>
      </c>
      <c r="BM102" s="52">
        <v>5000</v>
      </c>
      <c r="BN102" s="62">
        <f t="shared" si="44"/>
        <v>702.30749999999989</v>
      </c>
      <c r="BO102" s="52">
        <v>5100</v>
      </c>
      <c r="BP102" s="62">
        <f t="shared" si="45"/>
        <v>692.45925</v>
      </c>
      <c r="BQ102" s="52">
        <v>50000</v>
      </c>
      <c r="BR102" s="62">
        <f t="shared" si="46"/>
        <v>4705.3950000000004</v>
      </c>
      <c r="BS102" s="52">
        <v>51000</v>
      </c>
      <c r="BT102" s="62">
        <f t="shared" si="47"/>
        <v>4964.0325000000003</v>
      </c>
      <c r="BU102" s="62">
        <v>80</v>
      </c>
      <c r="BV102" s="62">
        <v>23.75</v>
      </c>
      <c r="BY102" s="62">
        <v>80</v>
      </c>
      <c r="BZ102" s="62">
        <v>23.75</v>
      </c>
      <c r="CC102" s="62">
        <v>80</v>
      </c>
      <c r="CD102" s="62">
        <v>23.75</v>
      </c>
      <c r="CG102" s="62">
        <v>80</v>
      </c>
      <c r="CH102" s="62">
        <v>23.75</v>
      </c>
      <c r="CK102" s="62">
        <v>125</v>
      </c>
      <c r="CL102" s="62">
        <v>125</v>
      </c>
      <c r="CM102" s="62">
        <v>125</v>
      </c>
      <c r="CN102" s="62">
        <v>125</v>
      </c>
      <c r="CO102" s="62">
        <v>125</v>
      </c>
      <c r="CP102" s="62">
        <v>125</v>
      </c>
      <c r="CQ102" s="62">
        <v>125</v>
      </c>
      <c r="CR102" s="62">
        <v>125</v>
      </c>
      <c r="CS102" s="130">
        <v>23.300000000000001</v>
      </c>
      <c r="CT102" s="130">
        <v>16.600000000000001</v>
      </c>
      <c r="CU102" s="51" t="s">
        <v>175</v>
      </c>
      <c r="CW102" s="130">
        <v>25</v>
      </c>
      <c r="CX102" s="130">
        <v>14.699999999999999</v>
      </c>
      <c r="CY102" s="51" t="s">
        <v>175</v>
      </c>
      <c r="DA102" s="130">
        <v>57.299999999999997</v>
      </c>
      <c r="DB102" s="130">
        <v>14.300000000000001</v>
      </c>
      <c r="DC102" s="51" t="s">
        <v>175</v>
      </c>
      <c r="DE102" s="130">
        <v>133.59999999999999</v>
      </c>
      <c r="DF102" s="130">
        <v>14.199999999999999</v>
      </c>
      <c r="DG102" s="51" t="s">
        <v>175</v>
      </c>
      <c r="DI102" s="62">
        <v>140</v>
      </c>
      <c r="DJ102" s="62">
        <v>140</v>
      </c>
      <c r="DK102" s="62">
        <v>140</v>
      </c>
      <c r="DL102" s="62">
        <v>140</v>
      </c>
      <c r="DM102" s="62">
        <v>140</v>
      </c>
      <c r="DN102" s="62">
        <v>140</v>
      </c>
      <c r="DO102" s="62">
        <v>140</v>
      </c>
      <c r="DP102" s="62">
        <v>140</v>
      </c>
    </row>
    <row r="103" s="51" customFormat="1" ht="15.75" customHeight="1">
      <c r="A103" s="52">
        <v>3000000</v>
      </c>
      <c r="B103" s="53" t="s">
        <v>309</v>
      </c>
      <c r="C103" s="54" t="s">
        <v>310</v>
      </c>
      <c r="D103" s="52">
        <v>3330000</v>
      </c>
      <c r="E103" s="54" t="s">
        <v>349</v>
      </c>
      <c r="F103" s="55"/>
      <c r="G103" s="55"/>
      <c r="H103" s="55"/>
      <c r="I103" s="53"/>
      <c r="J103" s="53"/>
      <c r="L103" s="53" t="s">
        <v>354</v>
      </c>
      <c r="M103" s="54" t="s">
        <v>349</v>
      </c>
      <c r="N103" s="57" t="s">
        <v>351</v>
      </c>
      <c r="O103" s="57"/>
      <c r="T103" s="57"/>
      <c r="U103" s="51" t="s">
        <v>247</v>
      </c>
      <c r="W103" s="51" t="s">
        <v>315</v>
      </c>
      <c r="X103" s="57" t="s">
        <v>321</v>
      </c>
      <c r="AD103" s="51" t="s">
        <v>170</v>
      </c>
      <c r="AE103" s="51" t="s">
        <v>171</v>
      </c>
      <c r="AF103" s="51" t="s">
        <v>171</v>
      </c>
      <c r="AG103" s="57"/>
      <c r="AH103" s="57"/>
      <c r="AI103" s="57"/>
      <c r="AJ103" s="57"/>
      <c r="AK103" s="57"/>
      <c r="AM103" s="57" t="s">
        <v>319</v>
      </c>
      <c r="AN103" s="106" t="s">
        <v>174</v>
      </c>
      <c r="AO103" s="51">
        <v>500</v>
      </c>
      <c r="AP103" s="60">
        <v>100000</v>
      </c>
      <c r="AQ103" s="64">
        <v>4.7000000000000002</v>
      </c>
      <c r="AR103" s="51" t="s">
        <v>317</v>
      </c>
      <c r="AS103" s="62">
        <f t="shared" si="36"/>
        <v>259.92000000000002</v>
      </c>
      <c r="AT103" s="62">
        <f t="shared" si="37"/>
        <v>102.6375</v>
      </c>
      <c r="AU103" s="63">
        <v>7</v>
      </c>
      <c r="AV103" s="63">
        <v>4</v>
      </c>
      <c r="AW103" s="64">
        <v>24</v>
      </c>
      <c r="AX103" s="62">
        <f t="shared" si="38"/>
        <v>255.84</v>
      </c>
      <c r="AY103" s="62">
        <f t="shared" si="39"/>
        <v>96.877499999999998</v>
      </c>
      <c r="AZ103" s="63">
        <v>7</v>
      </c>
      <c r="BA103" s="63">
        <v>4</v>
      </c>
      <c r="BB103" s="64">
        <v>15</v>
      </c>
      <c r="BC103" s="62">
        <f t="shared" si="40"/>
        <v>352.80000000000001</v>
      </c>
      <c r="BD103" s="62">
        <f t="shared" si="41"/>
        <v>95.677499999999995</v>
      </c>
      <c r="BE103" s="63">
        <v>8</v>
      </c>
      <c r="BF103" s="63">
        <v>5</v>
      </c>
      <c r="BG103" s="64">
        <v>13</v>
      </c>
      <c r="BH103" s="62">
        <f t="shared" si="42"/>
        <v>580.07999999999993</v>
      </c>
      <c r="BI103" s="62">
        <f t="shared" si="43"/>
        <v>95.4375</v>
      </c>
      <c r="BJ103" s="63">
        <v>10</v>
      </c>
      <c r="BK103" s="63">
        <v>7</v>
      </c>
      <c r="BL103" s="64">
        <v>15</v>
      </c>
      <c r="BM103" s="52">
        <v>5000</v>
      </c>
      <c r="BN103" s="62">
        <f t="shared" si="44"/>
        <v>773.10750000000007</v>
      </c>
      <c r="BO103" s="52">
        <v>5100</v>
      </c>
      <c r="BP103" s="62">
        <f t="shared" si="45"/>
        <v>749.91525000000001</v>
      </c>
      <c r="BQ103" s="52">
        <v>50000</v>
      </c>
      <c r="BR103" s="62">
        <f t="shared" si="46"/>
        <v>5136.6750000000002</v>
      </c>
      <c r="BS103" s="52">
        <v>51000</v>
      </c>
      <c r="BT103" s="62">
        <f t="shared" si="47"/>
        <v>5447.3924999999999</v>
      </c>
      <c r="BU103" s="62">
        <v>80</v>
      </c>
      <c r="BV103" s="62">
        <v>23.75</v>
      </c>
      <c r="BY103" s="62">
        <v>80</v>
      </c>
      <c r="BZ103" s="62">
        <v>23.75</v>
      </c>
      <c r="CC103" s="62">
        <v>80</v>
      </c>
      <c r="CD103" s="62">
        <v>23.75</v>
      </c>
      <c r="CG103" s="62">
        <v>80</v>
      </c>
      <c r="CH103" s="62">
        <v>23.75</v>
      </c>
      <c r="CK103" s="62">
        <v>125</v>
      </c>
      <c r="CL103" s="62">
        <v>125</v>
      </c>
      <c r="CM103" s="62">
        <v>125</v>
      </c>
      <c r="CN103" s="62">
        <v>125</v>
      </c>
      <c r="CO103" s="62">
        <v>125</v>
      </c>
      <c r="CP103" s="62">
        <v>125</v>
      </c>
      <c r="CQ103" s="62">
        <v>125</v>
      </c>
      <c r="CR103" s="62">
        <v>125</v>
      </c>
      <c r="CS103" s="130">
        <v>33.299999999999997</v>
      </c>
      <c r="CT103" s="130">
        <v>20.5</v>
      </c>
      <c r="CU103" s="51" t="s">
        <v>175</v>
      </c>
      <c r="CW103" s="130">
        <v>31.600000000000001</v>
      </c>
      <c r="CX103" s="130">
        <v>18.100000000000001</v>
      </c>
      <c r="CY103" s="51" t="s">
        <v>175</v>
      </c>
      <c r="DA103" s="130">
        <v>72</v>
      </c>
      <c r="DB103" s="130">
        <v>17.600000000000001</v>
      </c>
      <c r="DC103" s="51" t="s">
        <v>175</v>
      </c>
      <c r="DE103" s="130">
        <v>166.69999999999999</v>
      </c>
      <c r="DF103" s="130">
        <v>17.5</v>
      </c>
      <c r="DG103" s="51" t="s">
        <v>175</v>
      </c>
      <c r="DI103" s="62">
        <v>140</v>
      </c>
      <c r="DJ103" s="62">
        <v>140</v>
      </c>
      <c r="DK103" s="62">
        <v>140</v>
      </c>
      <c r="DL103" s="62">
        <v>140</v>
      </c>
      <c r="DM103" s="62">
        <v>140</v>
      </c>
      <c r="DN103" s="62">
        <v>140</v>
      </c>
      <c r="DO103" s="62">
        <v>140</v>
      </c>
      <c r="DP103" s="62">
        <v>140</v>
      </c>
    </row>
    <row r="104" s="51" customFormat="1" ht="15.75" customHeight="1">
      <c r="A104" s="52">
        <v>3000000</v>
      </c>
      <c r="B104" s="53" t="s">
        <v>309</v>
      </c>
      <c r="C104" s="54" t="s">
        <v>310</v>
      </c>
      <c r="D104" s="52">
        <v>3330000</v>
      </c>
      <c r="E104" s="54" t="s">
        <v>349</v>
      </c>
      <c r="F104" s="55"/>
      <c r="G104" s="55"/>
      <c r="H104" s="55"/>
      <c r="I104" s="53"/>
      <c r="J104" s="53"/>
      <c r="L104" s="53" t="s">
        <v>355</v>
      </c>
      <c r="M104" s="54" t="s">
        <v>349</v>
      </c>
      <c r="N104" s="57" t="s">
        <v>351</v>
      </c>
      <c r="O104" s="57"/>
      <c r="T104" s="57"/>
      <c r="U104" s="51" t="s">
        <v>247</v>
      </c>
      <c r="W104" s="51" t="s">
        <v>315</v>
      </c>
      <c r="X104" s="57" t="s">
        <v>324</v>
      </c>
      <c r="AD104" s="51" t="s">
        <v>170</v>
      </c>
      <c r="AE104" s="51" t="s">
        <v>171</v>
      </c>
      <c r="AF104" s="51" t="s">
        <v>171</v>
      </c>
      <c r="AG104" s="57"/>
      <c r="AH104" s="57"/>
      <c r="AI104" s="57"/>
      <c r="AJ104" s="57"/>
      <c r="AK104" s="57"/>
      <c r="AM104" s="57" t="s">
        <v>173</v>
      </c>
      <c r="AN104" s="106" t="s">
        <v>174</v>
      </c>
      <c r="AO104" s="51">
        <v>500</v>
      </c>
      <c r="AP104" s="60">
        <v>100000</v>
      </c>
      <c r="AQ104" s="64">
        <v>4.7000000000000002</v>
      </c>
      <c r="AR104" s="51" t="s">
        <v>317</v>
      </c>
      <c r="AS104" s="62">
        <f t="shared" si="36"/>
        <v>220.07999999999998</v>
      </c>
      <c r="AT104" s="62">
        <f t="shared" si="37"/>
        <v>82.477499999999992</v>
      </c>
      <c r="AU104" s="63">
        <v>7</v>
      </c>
      <c r="AV104" s="63">
        <v>4</v>
      </c>
      <c r="AW104" s="64">
        <v>24</v>
      </c>
      <c r="AX104" s="62">
        <f t="shared" si="38"/>
        <v>236.63999999999999</v>
      </c>
      <c r="AY104" s="62">
        <f t="shared" si="39"/>
        <v>79.117500000000007</v>
      </c>
      <c r="AZ104" s="63">
        <v>7</v>
      </c>
      <c r="BA104" s="63">
        <v>4</v>
      </c>
      <c r="BB104" s="64">
        <v>15</v>
      </c>
      <c r="BC104" s="62">
        <f t="shared" si="40"/>
        <v>294.96000000000004</v>
      </c>
      <c r="BD104" s="62">
        <f t="shared" si="41"/>
        <v>77.917500000000004</v>
      </c>
      <c r="BE104" s="63">
        <v>8</v>
      </c>
      <c r="BF104" s="63">
        <v>5</v>
      </c>
      <c r="BG104" s="64">
        <v>13</v>
      </c>
      <c r="BH104" s="62">
        <f t="shared" si="42"/>
        <v>462.48000000000002</v>
      </c>
      <c r="BI104" s="62">
        <f t="shared" si="43"/>
        <v>77.4375</v>
      </c>
      <c r="BJ104" s="63">
        <v>10</v>
      </c>
      <c r="BK104" s="63">
        <v>7</v>
      </c>
      <c r="BL104" s="64">
        <v>15</v>
      </c>
      <c r="BM104" s="52">
        <v>5000</v>
      </c>
      <c r="BN104" s="62">
        <f t="shared" si="44"/>
        <v>632.46749999999997</v>
      </c>
      <c r="BO104" s="52">
        <v>5100</v>
      </c>
      <c r="BP104" s="62">
        <f t="shared" si="45"/>
        <v>640.13925000000006</v>
      </c>
      <c r="BQ104" s="52">
        <v>50000</v>
      </c>
      <c r="BR104" s="62">
        <f t="shared" si="46"/>
        <v>4190.835</v>
      </c>
      <c r="BS104" s="52">
        <v>51000</v>
      </c>
      <c r="BT104" s="62">
        <f t="shared" si="47"/>
        <v>4411.7924999999996</v>
      </c>
      <c r="BU104" s="62">
        <v>80</v>
      </c>
      <c r="BV104" s="62">
        <v>23.75</v>
      </c>
      <c r="BY104" s="62">
        <v>80</v>
      </c>
      <c r="BZ104" s="62">
        <v>23.75</v>
      </c>
      <c r="CC104" s="62">
        <v>80</v>
      </c>
      <c r="CD104" s="62">
        <v>23.75</v>
      </c>
      <c r="CG104" s="62">
        <v>80</v>
      </c>
      <c r="CH104" s="62">
        <v>23.75</v>
      </c>
      <c r="CK104" s="62">
        <v>125</v>
      </c>
      <c r="CL104" s="62">
        <v>125</v>
      </c>
      <c r="CM104" s="62">
        <v>125</v>
      </c>
      <c r="CN104" s="62">
        <v>125</v>
      </c>
      <c r="CO104" s="62">
        <v>125</v>
      </c>
      <c r="CP104" s="62">
        <v>125</v>
      </c>
      <c r="CQ104" s="62">
        <v>125</v>
      </c>
      <c r="CR104" s="62">
        <v>125</v>
      </c>
      <c r="CS104" s="130">
        <v>16.699999999999999</v>
      </c>
      <c r="CT104" s="130">
        <v>12.1</v>
      </c>
      <c r="CU104" s="51" t="s">
        <v>175</v>
      </c>
      <c r="CW104" s="130">
        <v>23.600000000000001</v>
      </c>
      <c r="CX104" s="130">
        <v>10.699999999999999</v>
      </c>
      <c r="CY104" s="51" t="s">
        <v>175</v>
      </c>
      <c r="DA104" s="130">
        <v>47.899999999999999</v>
      </c>
      <c r="DB104" s="130">
        <v>10.199999999999999</v>
      </c>
      <c r="DC104" s="51" t="s">
        <v>175</v>
      </c>
      <c r="DE104" s="130">
        <v>117.7</v>
      </c>
      <c r="DF104" s="130">
        <v>10</v>
      </c>
      <c r="DG104" s="51" t="s">
        <v>175</v>
      </c>
      <c r="DI104" s="62">
        <v>140</v>
      </c>
      <c r="DJ104" s="62">
        <v>140</v>
      </c>
      <c r="DK104" s="62">
        <v>140</v>
      </c>
      <c r="DL104" s="62">
        <v>140</v>
      </c>
      <c r="DM104" s="62">
        <v>140</v>
      </c>
      <c r="DN104" s="62">
        <v>140</v>
      </c>
      <c r="DO104" s="62">
        <v>140</v>
      </c>
      <c r="DP104" s="62">
        <v>140</v>
      </c>
    </row>
    <row r="105" s="51" customFormat="1" ht="15.75" customHeight="1">
      <c r="A105" s="52">
        <v>3000000</v>
      </c>
      <c r="B105" s="53" t="s">
        <v>309</v>
      </c>
      <c r="C105" s="54" t="s">
        <v>310</v>
      </c>
      <c r="D105" s="52">
        <v>3330000</v>
      </c>
      <c r="E105" s="54" t="s">
        <v>349</v>
      </c>
      <c r="F105" s="55"/>
      <c r="G105" s="55"/>
      <c r="H105" s="55"/>
      <c r="I105" s="53"/>
      <c r="J105" s="53"/>
      <c r="L105" s="53" t="s">
        <v>356</v>
      </c>
      <c r="M105" s="54" t="s">
        <v>349</v>
      </c>
      <c r="N105" s="57" t="s">
        <v>351</v>
      </c>
      <c r="O105" s="57"/>
      <c r="T105" s="57"/>
      <c r="U105" s="51" t="s">
        <v>247</v>
      </c>
      <c r="W105" s="51" t="s">
        <v>315</v>
      </c>
      <c r="X105" s="57" t="s">
        <v>324</v>
      </c>
      <c r="AD105" s="51" t="s">
        <v>170</v>
      </c>
      <c r="AE105" s="51" t="s">
        <v>171</v>
      </c>
      <c r="AF105" s="51" t="s">
        <v>171</v>
      </c>
      <c r="AG105" s="57"/>
      <c r="AH105" s="57"/>
      <c r="AI105" s="57"/>
      <c r="AJ105" s="57"/>
      <c r="AK105" s="57"/>
      <c r="AM105" s="57" t="s">
        <v>319</v>
      </c>
      <c r="AN105" s="106" t="s">
        <v>174</v>
      </c>
      <c r="AO105" s="51">
        <v>500</v>
      </c>
      <c r="AP105" s="60">
        <v>100000</v>
      </c>
      <c r="AQ105" s="64">
        <v>4.7000000000000002</v>
      </c>
      <c r="AR105" s="51" t="s">
        <v>317</v>
      </c>
      <c r="AS105" s="62">
        <f t="shared" si="36"/>
        <v>240</v>
      </c>
      <c r="AT105" s="62">
        <f t="shared" si="37"/>
        <v>86.077499999999986</v>
      </c>
      <c r="AU105" s="63">
        <v>7</v>
      </c>
      <c r="AV105" s="63">
        <v>4</v>
      </c>
      <c r="AW105" s="64">
        <v>24</v>
      </c>
      <c r="AX105" s="62">
        <f t="shared" si="38"/>
        <v>256.80000000000001</v>
      </c>
      <c r="AY105" s="62">
        <f t="shared" si="39"/>
        <v>82.717500000000001</v>
      </c>
      <c r="AZ105" s="63">
        <v>7</v>
      </c>
      <c r="BA105" s="63">
        <v>4</v>
      </c>
      <c r="BB105" s="64">
        <v>15</v>
      </c>
      <c r="BC105" s="62">
        <f t="shared" si="40"/>
        <v>309.60000000000002</v>
      </c>
      <c r="BD105" s="62">
        <f t="shared" si="41"/>
        <v>81.277499999999989</v>
      </c>
      <c r="BE105" s="63">
        <v>8</v>
      </c>
      <c r="BF105" s="63">
        <v>5</v>
      </c>
      <c r="BG105" s="64">
        <v>13</v>
      </c>
      <c r="BH105" s="62">
        <f t="shared" si="42"/>
        <v>501.12</v>
      </c>
      <c r="BI105" s="62">
        <f t="shared" si="43"/>
        <v>81.037499999999994</v>
      </c>
      <c r="BJ105" s="63">
        <v>10</v>
      </c>
      <c r="BK105" s="63">
        <v>7</v>
      </c>
      <c r="BL105" s="64">
        <v>15</v>
      </c>
      <c r="BM105" s="52">
        <v>5000</v>
      </c>
      <c r="BN105" s="62">
        <f t="shared" si="44"/>
        <v>670.38749999999993</v>
      </c>
      <c r="BO105" s="52">
        <v>5100</v>
      </c>
      <c r="BP105" s="62">
        <f t="shared" si="45"/>
        <v>678.65924999999993</v>
      </c>
      <c r="BQ105" s="52">
        <v>50000</v>
      </c>
      <c r="BR105" s="62">
        <f t="shared" si="46"/>
        <v>4373.4749999999995</v>
      </c>
      <c r="BS105" s="52">
        <v>51000</v>
      </c>
      <c r="BT105" s="62">
        <f t="shared" si="47"/>
        <v>4634.0324999999993</v>
      </c>
      <c r="BU105" s="62">
        <v>80</v>
      </c>
      <c r="BV105" s="62">
        <v>23.75</v>
      </c>
      <c r="BY105" s="62">
        <v>80</v>
      </c>
      <c r="BZ105" s="62">
        <v>23.75</v>
      </c>
      <c r="CC105" s="62">
        <v>80</v>
      </c>
      <c r="CD105" s="62">
        <v>23.75</v>
      </c>
      <c r="CG105" s="62">
        <v>80</v>
      </c>
      <c r="CH105" s="62">
        <v>23.75</v>
      </c>
      <c r="CK105" s="62">
        <v>125</v>
      </c>
      <c r="CL105" s="62">
        <v>125</v>
      </c>
      <c r="CM105" s="62">
        <v>125</v>
      </c>
      <c r="CN105" s="62">
        <v>125</v>
      </c>
      <c r="CO105" s="62">
        <v>125</v>
      </c>
      <c r="CP105" s="62">
        <v>125</v>
      </c>
      <c r="CQ105" s="62">
        <v>125</v>
      </c>
      <c r="CR105" s="62">
        <v>125</v>
      </c>
      <c r="CS105" s="130">
        <v>25</v>
      </c>
      <c r="CT105" s="130">
        <v>13.6</v>
      </c>
      <c r="CU105" s="51" t="s">
        <v>175</v>
      </c>
      <c r="CW105" s="130">
        <v>32</v>
      </c>
      <c r="CX105" s="130">
        <v>12.199999999999999</v>
      </c>
      <c r="CY105" s="51" t="s">
        <v>175</v>
      </c>
      <c r="DA105" s="130">
        <v>54</v>
      </c>
      <c r="DB105" s="130">
        <v>11.6</v>
      </c>
      <c r="DC105" s="51" t="s">
        <v>175</v>
      </c>
      <c r="DE105" s="130">
        <v>133.80000000000001</v>
      </c>
      <c r="DF105" s="130">
        <v>11.5</v>
      </c>
      <c r="DG105" s="51" t="s">
        <v>175</v>
      </c>
      <c r="DI105" s="62">
        <v>140</v>
      </c>
      <c r="DJ105" s="62">
        <v>140</v>
      </c>
      <c r="DK105" s="62">
        <v>140</v>
      </c>
      <c r="DL105" s="62">
        <v>140</v>
      </c>
      <c r="DM105" s="62">
        <v>140</v>
      </c>
      <c r="DN105" s="62">
        <v>140</v>
      </c>
      <c r="DO105" s="62">
        <v>140</v>
      </c>
      <c r="DP105" s="62">
        <v>140</v>
      </c>
    </row>
    <row r="106" s="51" customFormat="1" ht="15.75" customHeight="1">
      <c r="A106" s="52">
        <v>3000000</v>
      </c>
      <c r="B106" s="53" t="s">
        <v>309</v>
      </c>
      <c r="C106" s="54" t="s">
        <v>310</v>
      </c>
      <c r="D106" s="52">
        <v>3330000</v>
      </c>
      <c r="E106" s="54" t="s">
        <v>349</v>
      </c>
      <c r="F106" s="55"/>
      <c r="G106" s="55"/>
      <c r="H106" s="55"/>
      <c r="I106" s="53"/>
      <c r="J106" s="53"/>
      <c r="L106" s="53" t="s">
        <v>357</v>
      </c>
      <c r="M106" s="54" t="s">
        <v>349</v>
      </c>
      <c r="N106" s="57" t="s">
        <v>351</v>
      </c>
      <c r="O106" s="57"/>
      <c r="T106" s="57"/>
      <c r="U106" s="51" t="s">
        <v>247</v>
      </c>
      <c r="W106" s="51" t="s">
        <v>315</v>
      </c>
      <c r="X106" s="57" t="s">
        <v>327</v>
      </c>
      <c r="AD106" s="51" t="s">
        <v>170</v>
      </c>
      <c r="AE106" s="51" t="s">
        <v>171</v>
      </c>
      <c r="AF106" s="51" t="s">
        <v>171</v>
      </c>
      <c r="AG106" s="57"/>
      <c r="AH106" s="57"/>
      <c r="AI106" s="57"/>
      <c r="AJ106" s="57"/>
      <c r="AK106" s="57"/>
      <c r="AM106" s="57" t="s">
        <v>173</v>
      </c>
      <c r="AN106" s="106" t="s">
        <v>174</v>
      </c>
      <c r="AO106" s="51">
        <v>500</v>
      </c>
      <c r="AP106" s="60">
        <v>100000</v>
      </c>
      <c r="AQ106" s="64">
        <v>5.5</v>
      </c>
      <c r="AR106" s="51" t="s">
        <v>317</v>
      </c>
      <c r="AS106" s="62">
        <f t="shared" si="36"/>
        <v>229.19999999999999</v>
      </c>
      <c r="AT106" s="62">
        <f t="shared" si="37"/>
        <v>89.4375</v>
      </c>
      <c r="AU106" s="63">
        <v>7</v>
      </c>
      <c r="AV106" s="63">
        <v>4</v>
      </c>
      <c r="AW106" s="64">
        <v>24</v>
      </c>
      <c r="AX106" s="62">
        <f t="shared" si="38"/>
        <v>235.67999999999998</v>
      </c>
      <c r="AY106" s="62">
        <f t="shared" si="39"/>
        <v>85.117500000000007</v>
      </c>
      <c r="AZ106" s="63">
        <v>7</v>
      </c>
      <c r="BA106" s="63">
        <v>4</v>
      </c>
      <c r="BB106" s="64">
        <v>15</v>
      </c>
      <c r="BC106" s="62">
        <f t="shared" si="40"/>
        <v>306.96000000000004</v>
      </c>
      <c r="BD106" s="62">
        <f t="shared" si="41"/>
        <v>84.397500000000008</v>
      </c>
      <c r="BE106" s="63">
        <v>8</v>
      </c>
      <c r="BF106" s="63">
        <v>5</v>
      </c>
      <c r="BG106" s="64">
        <v>13</v>
      </c>
      <c r="BH106" s="62">
        <f t="shared" si="42"/>
        <v>463.19999999999999</v>
      </c>
      <c r="BI106" s="62">
        <f t="shared" si="43"/>
        <v>84.397500000000008</v>
      </c>
      <c r="BJ106" s="63">
        <v>10</v>
      </c>
      <c r="BK106" s="63">
        <v>7</v>
      </c>
      <c r="BL106" s="64">
        <v>15</v>
      </c>
      <c r="BM106" s="52">
        <v>5000</v>
      </c>
      <c r="BN106" s="62">
        <f t="shared" si="44"/>
        <v>676.38750000000005</v>
      </c>
      <c r="BO106" s="52">
        <v>5100</v>
      </c>
      <c r="BP106" s="62">
        <f t="shared" si="45"/>
        <v>669.77925000000005</v>
      </c>
      <c r="BQ106" s="52">
        <v>50000</v>
      </c>
      <c r="BR106" s="62">
        <f t="shared" si="46"/>
        <v>4526.835</v>
      </c>
      <c r="BS106" s="52">
        <v>51000</v>
      </c>
      <c r="BT106" s="62">
        <f t="shared" si="47"/>
        <v>4767.4724999999999</v>
      </c>
      <c r="BU106" s="62">
        <v>80</v>
      </c>
      <c r="BV106" s="62">
        <v>23.75</v>
      </c>
      <c r="BY106" s="62">
        <v>80</v>
      </c>
      <c r="BZ106" s="62">
        <v>23.75</v>
      </c>
      <c r="CC106" s="62">
        <v>80</v>
      </c>
      <c r="CD106" s="62">
        <v>23.75</v>
      </c>
      <c r="CG106" s="62">
        <v>80</v>
      </c>
      <c r="CH106" s="62">
        <v>23.75</v>
      </c>
      <c r="CK106" s="62">
        <v>125</v>
      </c>
      <c r="CL106" s="62">
        <v>125</v>
      </c>
      <c r="CM106" s="62">
        <v>125</v>
      </c>
      <c r="CN106" s="62">
        <v>125</v>
      </c>
      <c r="CO106" s="62">
        <v>125</v>
      </c>
      <c r="CP106" s="62">
        <v>125</v>
      </c>
      <c r="CQ106" s="62">
        <v>125</v>
      </c>
      <c r="CR106" s="62">
        <v>125</v>
      </c>
      <c r="CS106" s="130">
        <v>20.5</v>
      </c>
      <c r="CT106" s="130">
        <v>15</v>
      </c>
      <c r="CU106" s="51" t="s">
        <v>175</v>
      </c>
      <c r="CW106" s="130">
        <v>23.199999999999999</v>
      </c>
      <c r="CX106" s="130">
        <v>13.199999999999999</v>
      </c>
      <c r="CY106" s="51" t="s">
        <v>175</v>
      </c>
      <c r="DA106" s="130">
        <v>52.899999999999999</v>
      </c>
      <c r="DB106" s="130">
        <v>12.9</v>
      </c>
      <c r="DC106" s="51" t="s">
        <v>175</v>
      </c>
      <c r="DE106" s="130">
        <v>118</v>
      </c>
      <c r="DF106" s="130">
        <v>12.9</v>
      </c>
      <c r="DG106" s="51" t="s">
        <v>175</v>
      </c>
      <c r="DI106" s="62">
        <v>140</v>
      </c>
      <c r="DJ106" s="62">
        <v>140</v>
      </c>
      <c r="DK106" s="62">
        <v>140</v>
      </c>
      <c r="DL106" s="62">
        <v>140</v>
      </c>
      <c r="DM106" s="62">
        <v>140</v>
      </c>
      <c r="DN106" s="62">
        <v>140</v>
      </c>
      <c r="DO106" s="62">
        <v>140</v>
      </c>
      <c r="DP106" s="62">
        <v>140</v>
      </c>
    </row>
    <row r="107" s="51" customFormat="1" ht="15.75" customHeight="1">
      <c r="A107" s="52">
        <v>3000000</v>
      </c>
      <c r="B107" s="53" t="s">
        <v>309</v>
      </c>
      <c r="C107" s="54" t="s">
        <v>310</v>
      </c>
      <c r="D107" s="52">
        <v>3330000</v>
      </c>
      <c r="E107" s="54" t="s">
        <v>349</v>
      </c>
      <c r="F107" s="55"/>
      <c r="G107" s="55"/>
      <c r="H107" s="55"/>
      <c r="I107" s="53"/>
      <c r="J107" s="53"/>
      <c r="L107" s="53" t="s">
        <v>358</v>
      </c>
      <c r="M107" s="54" t="s">
        <v>349</v>
      </c>
      <c r="N107" s="57" t="s">
        <v>351</v>
      </c>
      <c r="T107" s="57"/>
      <c r="U107" s="51" t="s">
        <v>247</v>
      </c>
      <c r="W107" s="51" t="s">
        <v>315</v>
      </c>
      <c r="X107" s="57" t="s">
        <v>327</v>
      </c>
      <c r="AD107" s="51" t="s">
        <v>170</v>
      </c>
      <c r="AE107" s="51" t="s">
        <v>171</v>
      </c>
      <c r="AF107" s="51" t="s">
        <v>171</v>
      </c>
      <c r="AG107" s="57"/>
      <c r="AH107" s="57"/>
      <c r="AI107" s="57"/>
      <c r="AJ107" s="57"/>
      <c r="AK107" s="57"/>
      <c r="AM107" s="57" t="s">
        <v>319</v>
      </c>
      <c r="AN107" s="106" t="s">
        <v>174</v>
      </c>
      <c r="AO107" s="51">
        <v>500</v>
      </c>
      <c r="AP107" s="60">
        <v>100000</v>
      </c>
      <c r="AQ107" s="64">
        <v>5.5</v>
      </c>
      <c r="AR107" s="51" t="s">
        <v>317</v>
      </c>
      <c r="AS107" s="62">
        <f t="shared" si="36"/>
        <v>239.75999999999999</v>
      </c>
      <c r="AT107" s="62">
        <f t="shared" si="37"/>
        <v>90.397500000000008</v>
      </c>
      <c r="AU107" s="63">
        <v>7</v>
      </c>
      <c r="AV107" s="63">
        <v>4</v>
      </c>
      <c r="AW107" s="64">
        <v>24</v>
      </c>
      <c r="AX107" s="62">
        <f t="shared" si="38"/>
        <v>237.36000000000001</v>
      </c>
      <c r="AY107" s="62">
        <f t="shared" si="39"/>
        <v>86.077499999999986</v>
      </c>
      <c r="AZ107" s="63">
        <v>7</v>
      </c>
      <c r="BA107" s="63">
        <v>4</v>
      </c>
      <c r="BB107" s="64">
        <v>15</v>
      </c>
      <c r="BC107" s="62">
        <f t="shared" si="40"/>
        <v>309.36000000000001</v>
      </c>
      <c r="BD107" s="62">
        <f t="shared" si="41"/>
        <v>85.357500000000002</v>
      </c>
      <c r="BE107" s="63">
        <v>8</v>
      </c>
      <c r="BF107" s="63">
        <v>5</v>
      </c>
      <c r="BG107" s="64">
        <v>13</v>
      </c>
      <c r="BH107" s="62">
        <f t="shared" si="42"/>
        <v>465.84000000000003</v>
      </c>
      <c r="BI107" s="62">
        <f t="shared" si="43"/>
        <v>85.357500000000002</v>
      </c>
      <c r="BJ107" s="63">
        <v>10</v>
      </c>
      <c r="BK107" s="63">
        <v>7</v>
      </c>
      <c r="BL107" s="64">
        <v>15</v>
      </c>
      <c r="BM107" s="52">
        <v>5000</v>
      </c>
      <c r="BN107" s="62">
        <f t="shared" si="44"/>
        <v>691.74750000000006</v>
      </c>
      <c r="BO107" s="52">
        <v>5100</v>
      </c>
      <c r="BP107" s="62">
        <f t="shared" si="45"/>
        <v>676.35524999999996</v>
      </c>
      <c r="BQ107" s="52">
        <v>50000</v>
      </c>
      <c r="BR107" s="62">
        <f t="shared" si="46"/>
        <v>4577.2349999999997</v>
      </c>
      <c r="BS107" s="52">
        <v>51000</v>
      </c>
      <c r="BT107" s="62">
        <f t="shared" si="47"/>
        <v>4819.0725000000002</v>
      </c>
      <c r="BU107" s="62">
        <v>80</v>
      </c>
      <c r="BV107" s="62">
        <v>23.75</v>
      </c>
      <c r="BY107" s="62">
        <v>80</v>
      </c>
      <c r="BZ107" s="62">
        <v>23.75</v>
      </c>
      <c r="CC107" s="62">
        <v>80</v>
      </c>
      <c r="CD107" s="62">
        <v>23.75</v>
      </c>
      <c r="CG107" s="62">
        <v>80</v>
      </c>
      <c r="CH107" s="62">
        <v>23.75</v>
      </c>
      <c r="CK107" s="62">
        <v>125</v>
      </c>
      <c r="CL107" s="62">
        <v>125</v>
      </c>
      <c r="CM107" s="62">
        <v>125</v>
      </c>
      <c r="CN107" s="62">
        <v>125</v>
      </c>
      <c r="CO107" s="62">
        <v>125</v>
      </c>
      <c r="CP107" s="62">
        <v>125</v>
      </c>
      <c r="CQ107" s="62">
        <v>125</v>
      </c>
      <c r="CR107" s="62">
        <v>125</v>
      </c>
      <c r="CS107" s="130">
        <v>24.899999999999999</v>
      </c>
      <c r="CT107" s="130">
        <v>15.4</v>
      </c>
      <c r="CU107" s="51" t="s">
        <v>175</v>
      </c>
      <c r="CW107" s="130">
        <v>23.899999999999999</v>
      </c>
      <c r="CX107" s="130">
        <v>13.6</v>
      </c>
      <c r="CY107" s="51" t="s">
        <v>175</v>
      </c>
      <c r="DA107" s="130">
        <v>53.899999999999999</v>
      </c>
      <c r="DB107" s="130">
        <v>13.300000000000001</v>
      </c>
      <c r="DC107" s="51" t="s">
        <v>175</v>
      </c>
      <c r="DE107" s="130">
        <v>119.09999999999999</v>
      </c>
      <c r="DF107" s="130">
        <v>13.300000000000001</v>
      </c>
      <c r="DG107" s="51" t="s">
        <v>175</v>
      </c>
      <c r="DI107" s="62">
        <v>140</v>
      </c>
      <c r="DJ107" s="62">
        <v>140</v>
      </c>
      <c r="DK107" s="62">
        <v>140</v>
      </c>
      <c r="DL107" s="62">
        <v>140</v>
      </c>
      <c r="DM107" s="62">
        <v>140</v>
      </c>
      <c r="DN107" s="62">
        <v>140</v>
      </c>
      <c r="DO107" s="62">
        <v>140</v>
      </c>
      <c r="DP107" s="62">
        <v>140</v>
      </c>
    </row>
    <row r="108" s="76" customFormat="1" ht="15.75" customHeight="1">
      <c r="A108" s="71">
        <v>3000000</v>
      </c>
      <c r="B108" s="72" t="s">
        <v>309</v>
      </c>
      <c r="C108" s="73" t="s">
        <v>310</v>
      </c>
      <c r="D108" s="71">
        <v>3340000</v>
      </c>
      <c r="E108" s="73" t="s">
        <v>359</v>
      </c>
      <c r="F108" s="74"/>
      <c r="G108" s="74"/>
      <c r="H108" s="74"/>
      <c r="I108" s="72"/>
      <c r="J108" s="72"/>
      <c r="L108" s="72" t="s">
        <v>360</v>
      </c>
      <c r="M108" s="73" t="s">
        <v>359</v>
      </c>
      <c r="N108" s="77" t="s">
        <v>361</v>
      </c>
      <c r="T108" s="77"/>
      <c r="U108" s="76" t="s">
        <v>267</v>
      </c>
      <c r="W108" s="76" t="s">
        <v>315</v>
      </c>
      <c r="X108" s="77" t="s">
        <v>316</v>
      </c>
      <c r="AD108" s="76" t="s">
        <v>170</v>
      </c>
      <c r="AE108" s="76" t="s">
        <v>171</v>
      </c>
      <c r="AF108" s="76" t="s">
        <v>171</v>
      </c>
      <c r="AG108" s="77"/>
      <c r="AH108" s="77"/>
      <c r="AI108" s="77"/>
      <c r="AJ108" s="77"/>
      <c r="AK108" s="77"/>
      <c r="AM108" s="77" t="s">
        <v>173</v>
      </c>
      <c r="AN108" s="99" t="s">
        <v>174</v>
      </c>
      <c r="AO108" s="76">
        <v>500</v>
      </c>
      <c r="AP108" s="82">
        <v>100000</v>
      </c>
      <c r="AQ108" s="86">
        <v>8.1999999999999993</v>
      </c>
      <c r="AR108" s="76" t="s">
        <v>147</v>
      </c>
      <c r="AS108" s="84">
        <f t="shared" si="36"/>
        <v>280.80000000000001</v>
      </c>
      <c r="AT108" s="84">
        <f t="shared" si="37"/>
        <v>124.1925</v>
      </c>
      <c r="AU108" s="85">
        <v>7</v>
      </c>
      <c r="AV108" s="85">
        <v>4</v>
      </c>
      <c r="AW108" s="86">
        <v>24</v>
      </c>
      <c r="AX108" s="84">
        <f t="shared" si="38"/>
        <v>300</v>
      </c>
      <c r="AY108" s="84">
        <f t="shared" si="39"/>
        <v>118.91249999999999</v>
      </c>
      <c r="AZ108" s="85">
        <v>7</v>
      </c>
      <c r="BA108" s="85">
        <v>4</v>
      </c>
      <c r="BB108" s="86">
        <v>15</v>
      </c>
      <c r="BC108" s="84">
        <f t="shared" si="40"/>
        <v>435.36000000000001</v>
      </c>
      <c r="BD108" s="84">
        <f t="shared" si="41"/>
        <v>116.0325</v>
      </c>
      <c r="BE108" s="85">
        <v>8</v>
      </c>
      <c r="BF108" s="85">
        <v>5</v>
      </c>
      <c r="BG108" s="86">
        <v>13</v>
      </c>
      <c r="BH108" s="84">
        <f t="shared" si="42"/>
        <v>723.3599999999999</v>
      </c>
      <c r="BI108" s="84">
        <f t="shared" si="43"/>
        <v>115.7925</v>
      </c>
      <c r="BJ108" s="85">
        <v>10</v>
      </c>
      <c r="BK108" s="85">
        <v>7</v>
      </c>
      <c r="BL108" s="86">
        <v>15</v>
      </c>
      <c r="BM108" s="71">
        <v>5000</v>
      </c>
      <c r="BN108" s="84">
        <f t="shared" si="44"/>
        <v>901.76250000000005</v>
      </c>
      <c r="BO108" s="71">
        <v>5100</v>
      </c>
      <c r="BP108" s="84">
        <f t="shared" si="45"/>
        <v>906.45375000000001</v>
      </c>
      <c r="BQ108" s="71">
        <v>50000</v>
      </c>
      <c r="BR108" s="84">
        <f t="shared" si="46"/>
        <v>6236.9849999999997</v>
      </c>
      <c r="BS108" s="71">
        <v>51000</v>
      </c>
      <c r="BT108" s="84">
        <f t="shared" si="47"/>
        <v>6628.7774999999992</v>
      </c>
      <c r="BU108" s="84">
        <v>80</v>
      </c>
      <c r="BV108" s="84">
        <v>27.25</v>
      </c>
      <c r="BY108" s="84">
        <v>80</v>
      </c>
      <c r="BZ108" s="84">
        <v>27.25</v>
      </c>
      <c r="CC108" s="84">
        <v>80</v>
      </c>
      <c r="CD108" s="84">
        <v>27.25</v>
      </c>
      <c r="CG108" s="84">
        <v>80</v>
      </c>
      <c r="CH108" s="84">
        <v>27.25</v>
      </c>
      <c r="CK108" s="84">
        <v>125</v>
      </c>
      <c r="CL108" s="84">
        <v>125</v>
      </c>
      <c r="CM108" s="84">
        <v>125</v>
      </c>
      <c r="CN108" s="84">
        <v>125</v>
      </c>
      <c r="CO108" s="84">
        <v>125</v>
      </c>
      <c r="CP108" s="84">
        <v>125</v>
      </c>
      <c r="CQ108" s="84">
        <v>125</v>
      </c>
      <c r="CR108" s="84">
        <v>125</v>
      </c>
      <c r="CS108" s="112">
        <v>42</v>
      </c>
      <c r="CT108" s="112">
        <v>26.199999999999999</v>
      </c>
      <c r="CU108" s="76" t="s">
        <v>175</v>
      </c>
      <c r="CW108" s="112">
        <v>50</v>
      </c>
      <c r="CX108" s="112">
        <v>24</v>
      </c>
      <c r="CY108" s="76" t="s">
        <v>175</v>
      </c>
      <c r="DA108" s="112">
        <v>106.40000000000001</v>
      </c>
      <c r="DB108" s="112">
        <v>22.800000000000001</v>
      </c>
      <c r="DC108" s="76" t="s">
        <v>175</v>
      </c>
      <c r="DE108" s="112">
        <v>226.40000000000001</v>
      </c>
      <c r="DF108" s="112">
        <v>22.699999999999999</v>
      </c>
      <c r="DG108" s="76" t="s">
        <v>175</v>
      </c>
      <c r="DI108" s="84">
        <v>140</v>
      </c>
      <c r="DJ108" s="84">
        <v>140</v>
      </c>
      <c r="DK108" s="84">
        <v>140</v>
      </c>
      <c r="DL108" s="84">
        <v>140</v>
      </c>
      <c r="DM108" s="84">
        <v>140</v>
      </c>
      <c r="DN108" s="84">
        <v>140</v>
      </c>
      <c r="DO108" s="84">
        <v>140</v>
      </c>
      <c r="DP108" s="84">
        <v>140</v>
      </c>
    </row>
    <row r="109" s="76" customFormat="1" ht="15.75" customHeight="1">
      <c r="A109" s="71">
        <v>3000000</v>
      </c>
      <c r="B109" s="72" t="s">
        <v>309</v>
      </c>
      <c r="C109" s="73" t="s">
        <v>310</v>
      </c>
      <c r="D109" s="71">
        <v>3340000</v>
      </c>
      <c r="E109" s="73" t="s">
        <v>359</v>
      </c>
      <c r="F109" s="74"/>
      <c r="G109" s="74"/>
      <c r="H109" s="74"/>
      <c r="I109" s="72"/>
      <c r="J109" s="72"/>
      <c r="L109" s="72" t="s">
        <v>362</v>
      </c>
      <c r="M109" s="73" t="s">
        <v>359</v>
      </c>
      <c r="N109" s="77"/>
      <c r="T109" s="77"/>
      <c r="U109" s="76" t="s">
        <v>267</v>
      </c>
      <c r="W109" s="76" t="s">
        <v>315</v>
      </c>
      <c r="X109" s="77" t="s">
        <v>316</v>
      </c>
      <c r="AD109" s="76" t="s">
        <v>170</v>
      </c>
      <c r="AE109" s="76" t="s">
        <v>171</v>
      </c>
      <c r="AF109" s="76" t="s">
        <v>171</v>
      </c>
      <c r="AG109" s="77"/>
      <c r="AH109" s="77"/>
      <c r="AI109" s="77"/>
      <c r="AJ109" s="77"/>
      <c r="AK109" s="77"/>
      <c r="AM109" s="77" t="s">
        <v>319</v>
      </c>
      <c r="AN109" s="99" t="s">
        <v>174</v>
      </c>
      <c r="AO109" s="76">
        <v>500</v>
      </c>
      <c r="AP109" s="82">
        <v>100000</v>
      </c>
      <c r="AQ109" s="86">
        <v>8.1999999999999993</v>
      </c>
      <c r="AR109" s="76" t="s">
        <v>147</v>
      </c>
      <c r="AS109" s="84">
        <f t="shared" si="36"/>
        <v>324</v>
      </c>
      <c r="AT109" s="84">
        <f t="shared" si="37"/>
        <v>132.5925</v>
      </c>
      <c r="AU109" s="85">
        <v>7</v>
      </c>
      <c r="AV109" s="85">
        <v>4</v>
      </c>
      <c r="AW109" s="86">
        <v>24</v>
      </c>
      <c r="AX109" s="84">
        <f t="shared" si="38"/>
        <v>336</v>
      </c>
      <c r="AY109" s="84">
        <f t="shared" si="39"/>
        <v>128.51249999999999</v>
      </c>
      <c r="AZ109" s="85">
        <v>7</v>
      </c>
      <c r="BA109" s="85">
        <v>4</v>
      </c>
      <c r="BB109" s="86">
        <v>15</v>
      </c>
      <c r="BC109" s="84">
        <f t="shared" si="40"/>
        <v>503.75999999999999</v>
      </c>
      <c r="BD109" s="84">
        <f t="shared" si="41"/>
        <v>119.63249999999999</v>
      </c>
      <c r="BE109" s="85">
        <v>8</v>
      </c>
      <c r="BF109" s="85">
        <v>5</v>
      </c>
      <c r="BG109" s="86">
        <v>13</v>
      </c>
      <c r="BH109" s="84">
        <f t="shared" si="42"/>
        <v>783.12</v>
      </c>
      <c r="BI109" s="84">
        <f t="shared" si="43"/>
        <v>121.55249999999999</v>
      </c>
      <c r="BJ109" s="85">
        <v>10</v>
      </c>
      <c r="BK109" s="85">
        <v>7</v>
      </c>
      <c r="BL109" s="86">
        <v>15</v>
      </c>
      <c r="BM109" s="71">
        <v>5000</v>
      </c>
      <c r="BN109" s="84">
        <f t="shared" si="44"/>
        <v>986.96249999999998</v>
      </c>
      <c r="BO109" s="71">
        <v>5100</v>
      </c>
      <c r="BP109" s="84">
        <f t="shared" si="45"/>
        <v>991.41375000000005</v>
      </c>
      <c r="BQ109" s="71">
        <v>50000</v>
      </c>
      <c r="BR109" s="84">
        <f t="shared" si="46"/>
        <v>6485.3850000000002</v>
      </c>
      <c r="BS109" s="71">
        <v>51000</v>
      </c>
      <c r="BT109" s="84">
        <f t="shared" si="47"/>
        <v>6982.2974999999997</v>
      </c>
      <c r="BU109" s="84">
        <v>80</v>
      </c>
      <c r="BV109" s="84">
        <v>27.25</v>
      </c>
      <c r="BY109" s="84">
        <v>80</v>
      </c>
      <c r="BZ109" s="84">
        <v>27.25</v>
      </c>
      <c r="CC109" s="84">
        <v>80</v>
      </c>
      <c r="CD109" s="84">
        <v>27.25</v>
      </c>
      <c r="CG109" s="84">
        <v>80</v>
      </c>
      <c r="CH109" s="84">
        <v>27.25</v>
      </c>
      <c r="CK109" s="84">
        <v>125</v>
      </c>
      <c r="CL109" s="84">
        <v>125</v>
      </c>
      <c r="CM109" s="84">
        <v>125</v>
      </c>
      <c r="CN109" s="84">
        <v>125</v>
      </c>
      <c r="CO109" s="84">
        <v>125</v>
      </c>
      <c r="CP109" s="84">
        <v>125</v>
      </c>
      <c r="CQ109" s="84">
        <v>125</v>
      </c>
      <c r="CR109" s="84">
        <v>125</v>
      </c>
      <c r="CS109" s="112">
        <v>60</v>
      </c>
      <c r="CT109" s="112">
        <v>29.699999999999999</v>
      </c>
      <c r="CU109" s="76" t="s">
        <v>175</v>
      </c>
      <c r="CW109" s="112">
        <v>65</v>
      </c>
      <c r="CX109" s="112">
        <v>28</v>
      </c>
      <c r="CY109" s="76" t="s">
        <v>175</v>
      </c>
      <c r="DA109" s="112">
        <v>134.90000000000001</v>
      </c>
      <c r="DB109" s="112">
        <v>24.300000000000001</v>
      </c>
      <c r="DC109" s="76" t="s">
        <v>175</v>
      </c>
      <c r="DE109" s="112">
        <v>251.30000000000001</v>
      </c>
      <c r="DF109" s="112">
        <v>25.100000000000001</v>
      </c>
      <c r="DG109" s="76" t="s">
        <v>175</v>
      </c>
      <c r="DI109" s="84">
        <v>140</v>
      </c>
      <c r="DJ109" s="84">
        <v>140</v>
      </c>
      <c r="DK109" s="84">
        <v>140</v>
      </c>
      <c r="DL109" s="84">
        <v>140</v>
      </c>
      <c r="DM109" s="84">
        <v>140</v>
      </c>
      <c r="DN109" s="84">
        <v>140</v>
      </c>
      <c r="DO109" s="84">
        <v>140</v>
      </c>
      <c r="DP109" s="84">
        <v>140</v>
      </c>
    </row>
    <row r="110" s="76" customFormat="1" ht="15.75" customHeight="1">
      <c r="A110" s="71">
        <v>3000000</v>
      </c>
      <c r="B110" s="72" t="s">
        <v>309</v>
      </c>
      <c r="C110" s="73" t="s">
        <v>310</v>
      </c>
      <c r="D110" s="71">
        <v>3340000</v>
      </c>
      <c r="E110" s="73" t="s">
        <v>359</v>
      </c>
      <c r="F110" s="74"/>
      <c r="G110" s="74"/>
      <c r="H110" s="74"/>
      <c r="I110" s="72"/>
      <c r="J110" s="72"/>
      <c r="L110" s="72" t="s">
        <v>363</v>
      </c>
      <c r="M110" s="73" t="s">
        <v>359</v>
      </c>
      <c r="N110" s="77"/>
      <c r="T110" s="77"/>
      <c r="U110" s="76" t="s">
        <v>267</v>
      </c>
      <c r="W110" s="76" t="s">
        <v>315</v>
      </c>
      <c r="X110" s="77" t="s">
        <v>321</v>
      </c>
      <c r="AD110" s="76" t="s">
        <v>170</v>
      </c>
      <c r="AE110" s="76" t="s">
        <v>171</v>
      </c>
      <c r="AF110" s="76" t="s">
        <v>171</v>
      </c>
      <c r="AG110" s="77"/>
      <c r="AH110" s="77"/>
      <c r="AI110" s="77"/>
      <c r="AJ110" s="77"/>
      <c r="AK110" s="77"/>
      <c r="AM110" s="77" t="s">
        <v>173</v>
      </c>
      <c r="AN110" s="99" t="s">
        <v>174</v>
      </c>
      <c r="AO110" s="76">
        <v>500</v>
      </c>
      <c r="AP110" s="82">
        <v>100000</v>
      </c>
      <c r="AQ110" s="86">
        <v>9.4000000000000004</v>
      </c>
      <c r="AR110" s="76" t="s">
        <v>147</v>
      </c>
      <c r="AS110" s="84">
        <f t="shared" si="36"/>
        <v>324</v>
      </c>
      <c r="AT110" s="84">
        <f t="shared" si="37"/>
        <v>128.51249999999999</v>
      </c>
      <c r="AU110" s="85">
        <v>7</v>
      </c>
      <c r="AV110" s="85">
        <v>4</v>
      </c>
      <c r="AW110" s="86">
        <v>24</v>
      </c>
      <c r="AX110" s="84">
        <f t="shared" si="38"/>
        <v>312</v>
      </c>
      <c r="AY110" s="84">
        <f t="shared" si="39"/>
        <v>130.91249999999999</v>
      </c>
      <c r="AZ110" s="85">
        <v>7</v>
      </c>
      <c r="BA110" s="85">
        <v>4</v>
      </c>
      <c r="BB110" s="86">
        <v>15</v>
      </c>
      <c r="BC110" s="84">
        <f t="shared" si="40"/>
        <v>449.51999999999998</v>
      </c>
      <c r="BD110" s="84">
        <f t="shared" si="41"/>
        <v>126.8325</v>
      </c>
      <c r="BE110" s="85">
        <v>8</v>
      </c>
      <c r="BF110" s="85">
        <v>5</v>
      </c>
      <c r="BG110" s="86">
        <v>13</v>
      </c>
      <c r="BH110" s="84">
        <f t="shared" si="42"/>
        <v>794.39999999999998</v>
      </c>
      <c r="BI110" s="84">
        <f t="shared" si="43"/>
        <v>126.5925</v>
      </c>
      <c r="BJ110" s="85">
        <v>10</v>
      </c>
      <c r="BK110" s="85">
        <v>7</v>
      </c>
      <c r="BL110" s="86">
        <v>15</v>
      </c>
      <c r="BM110" s="71">
        <v>5000</v>
      </c>
      <c r="BN110" s="84">
        <f t="shared" si="44"/>
        <v>966.5625</v>
      </c>
      <c r="BO110" s="71">
        <v>5100</v>
      </c>
      <c r="BP110" s="84">
        <f t="shared" si="45"/>
        <v>979.65374999999995</v>
      </c>
      <c r="BQ110" s="71">
        <v>50000</v>
      </c>
      <c r="BR110" s="84">
        <f t="shared" si="46"/>
        <v>6791.1450000000004</v>
      </c>
      <c r="BS110" s="71">
        <v>51000</v>
      </c>
      <c r="BT110" s="84">
        <f t="shared" si="47"/>
        <v>7250.6174999999994</v>
      </c>
      <c r="BU110" s="84">
        <v>80</v>
      </c>
      <c r="BV110" s="84">
        <v>27.25</v>
      </c>
      <c r="BY110" s="84">
        <v>80</v>
      </c>
      <c r="BZ110" s="84">
        <v>27.25</v>
      </c>
      <c r="CC110" s="84">
        <v>80</v>
      </c>
      <c r="CD110" s="84">
        <v>27.25</v>
      </c>
      <c r="CG110" s="84">
        <v>80</v>
      </c>
      <c r="CH110" s="84">
        <v>27.25</v>
      </c>
      <c r="CK110" s="84">
        <v>125</v>
      </c>
      <c r="CL110" s="84">
        <v>125</v>
      </c>
      <c r="CM110" s="84">
        <v>125</v>
      </c>
      <c r="CN110" s="84">
        <v>125</v>
      </c>
      <c r="CO110" s="84">
        <v>125</v>
      </c>
      <c r="CP110" s="84">
        <v>125</v>
      </c>
      <c r="CQ110" s="84">
        <v>125</v>
      </c>
      <c r="CR110" s="84">
        <v>125</v>
      </c>
      <c r="CS110" s="112">
        <v>60</v>
      </c>
      <c r="CT110" s="112">
        <v>28</v>
      </c>
      <c r="CU110" s="76" t="s">
        <v>175</v>
      </c>
      <c r="CW110" s="112">
        <v>55</v>
      </c>
      <c r="CX110" s="112">
        <v>29</v>
      </c>
      <c r="CY110" s="76" t="s">
        <v>175</v>
      </c>
      <c r="DA110" s="112">
        <v>112.3</v>
      </c>
      <c r="DB110" s="112">
        <v>27.300000000000001</v>
      </c>
      <c r="DC110" s="76" t="s">
        <v>175</v>
      </c>
      <c r="DE110" s="112">
        <v>256</v>
      </c>
      <c r="DF110" s="112">
        <v>27.199999999999999</v>
      </c>
      <c r="DG110" s="76" t="s">
        <v>175</v>
      </c>
      <c r="DI110" s="84">
        <v>140</v>
      </c>
      <c r="DJ110" s="84">
        <v>140</v>
      </c>
      <c r="DK110" s="84">
        <v>140</v>
      </c>
      <c r="DL110" s="84">
        <v>140</v>
      </c>
      <c r="DM110" s="84">
        <v>140</v>
      </c>
      <c r="DN110" s="84">
        <v>140</v>
      </c>
      <c r="DO110" s="84">
        <v>140</v>
      </c>
      <c r="DP110" s="84">
        <v>140</v>
      </c>
    </row>
    <row r="111" s="76" customFormat="1" ht="15.75" customHeight="1">
      <c r="A111" s="71">
        <v>3000000</v>
      </c>
      <c r="B111" s="72" t="s">
        <v>309</v>
      </c>
      <c r="C111" s="73" t="s">
        <v>310</v>
      </c>
      <c r="D111" s="71">
        <v>3340000</v>
      </c>
      <c r="E111" s="73" t="s">
        <v>359</v>
      </c>
      <c r="F111" s="74"/>
      <c r="G111" s="74"/>
      <c r="H111" s="74"/>
      <c r="I111" s="72"/>
      <c r="J111" s="72"/>
      <c r="L111" s="72" t="s">
        <v>364</v>
      </c>
      <c r="M111" s="73" t="s">
        <v>359</v>
      </c>
      <c r="N111" s="77"/>
      <c r="O111" s="77"/>
      <c r="T111" s="77"/>
      <c r="U111" s="76" t="s">
        <v>267</v>
      </c>
      <c r="W111" s="76" t="s">
        <v>315</v>
      </c>
      <c r="X111" s="77" t="s">
        <v>321</v>
      </c>
      <c r="AD111" s="76" t="s">
        <v>170</v>
      </c>
      <c r="AE111" s="76" t="s">
        <v>171</v>
      </c>
      <c r="AF111" s="76" t="s">
        <v>171</v>
      </c>
      <c r="AG111" s="77"/>
      <c r="AH111" s="77"/>
      <c r="AI111" s="77"/>
      <c r="AJ111" s="77"/>
      <c r="AK111" s="77"/>
      <c r="AM111" s="77" t="s">
        <v>319</v>
      </c>
      <c r="AN111" s="99" t="s">
        <v>174</v>
      </c>
      <c r="AO111" s="76">
        <v>500</v>
      </c>
      <c r="AP111" s="82">
        <v>100000</v>
      </c>
      <c r="AQ111" s="86">
        <v>9.4000000000000004</v>
      </c>
      <c r="AR111" s="76" t="s">
        <v>147</v>
      </c>
      <c r="AS111" s="84">
        <f t="shared" si="36"/>
        <v>348</v>
      </c>
      <c r="AT111" s="84">
        <f t="shared" si="37"/>
        <v>145.3125</v>
      </c>
      <c r="AU111" s="85">
        <v>7</v>
      </c>
      <c r="AV111" s="85">
        <v>4</v>
      </c>
      <c r="AW111" s="86">
        <v>24</v>
      </c>
      <c r="AX111" s="84">
        <f t="shared" si="38"/>
        <v>336</v>
      </c>
      <c r="AY111" s="84">
        <f t="shared" si="39"/>
        <v>147.71250000000001</v>
      </c>
      <c r="AZ111" s="85">
        <v>7</v>
      </c>
      <c r="BA111" s="85">
        <v>4</v>
      </c>
      <c r="BB111" s="86">
        <v>15</v>
      </c>
      <c r="BC111" s="84">
        <f t="shared" si="40"/>
        <v>515.03999999999996</v>
      </c>
      <c r="BD111" s="84">
        <f t="shared" si="41"/>
        <v>142.91249999999999</v>
      </c>
      <c r="BE111" s="85">
        <v>8</v>
      </c>
      <c r="BF111" s="85">
        <v>5</v>
      </c>
      <c r="BG111" s="86">
        <v>13</v>
      </c>
      <c r="BH111" s="84">
        <f t="shared" si="42"/>
        <v>940.31999999999994</v>
      </c>
      <c r="BI111" s="84">
        <f t="shared" si="43"/>
        <v>141.95249999999999</v>
      </c>
      <c r="BJ111" s="85">
        <v>10</v>
      </c>
      <c r="BK111" s="85">
        <v>7</v>
      </c>
      <c r="BL111" s="86">
        <v>15</v>
      </c>
      <c r="BM111" s="71">
        <v>5000</v>
      </c>
      <c r="BN111" s="84">
        <f t="shared" si="44"/>
        <v>1074.5625</v>
      </c>
      <c r="BO111" s="71">
        <v>5100</v>
      </c>
      <c r="BP111" s="84">
        <f t="shared" si="45"/>
        <v>1089.33375</v>
      </c>
      <c r="BQ111" s="71">
        <v>50000</v>
      </c>
      <c r="BR111" s="84">
        <f t="shared" si="46"/>
        <v>7660.665</v>
      </c>
      <c r="BS111" s="71">
        <v>51000</v>
      </c>
      <c r="BT111" s="84">
        <f t="shared" si="47"/>
        <v>8179.8974999999991</v>
      </c>
      <c r="BU111" s="84">
        <v>80</v>
      </c>
      <c r="BV111" s="84">
        <v>27.25</v>
      </c>
      <c r="BY111" s="84">
        <v>80</v>
      </c>
      <c r="BZ111" s="84">
        <v>27.25</v>
      </c>
      <c r="CC111" s="84">
        <v>80</v>
      </c>
      <c r="CD111" s="84">
        <v>27.25</v>
      </c>
      <c r="CG111" s="84">
        <v>80</v>
      </c>
      <c r="CH111" s="84">
        <v>27.25</v>
      </c>
      <c r="CK111" s="84">
        <v>125</v>
      </c>
      <c r="CL111" s="84">
        <v>125</v>
      </c>
      <c r="CM111" s="84">
        <v>125</v>
      </c>
      <c r="CN111" s="84">
        <v>125</v>
      </c>
      <c r="CO111" s="84">
        <v>125</v>
      </c>
      <c r="CP111" s="84">
        <v>125</v>
      </c>
      <c r="CQ111" s="84">
        <v>125</v>
      </c>
      <c r="CR111" s="84">
        <v>125</v>
      </c>
      <c r="CS111" s="112">
        <v>70</v>
      </c>
      <c r="CT111" s="112">
        <v>35</v>
      </c>
      <c r="CU111" s="76" t="s">
        <v>175</v>
      </c>
      <c r="CW111" s="112">
        <v>65</v>
      </c>
      <c r="CX111" s="112">
        <v>36</v>
      </c>
      <c r="CY111" s="76" t="s">
        <v>175</v>
      </c>
      <c r="DA111" s="112">
        <v>139.59999999999999</v>
      </c>
      <c r="DB111" s="112">
        <v>34</v>
      </c>
      <c r="DC111" s="76" t="s">
        <v>175</v>
      </c>
      <c r="DE111" s="112">
        <v>316.80000000000001</v>
      </c>
      <c r="DF111" s="112">
        <v>33.600000000000001</v>
      </c>
      <c r="DG111" s="76" t="s">
        <v>175</v>
      </c>
      <c r="DI111" s="84">
        <v>140</v>
      </c>
      <c r="DJ111" s="84">
        <v>140</v>
      </c>
      <c r="DK111" s="84">
        <v>140</v>
      </c>
      <c r="DL111" s="84">
        <v>140</v>
      </c>
      <c r="DM111" s="84">
        <v>140</v>
      </c>
      <c r="DN111" s="84">
        <v>140</v>
      </c>
      <c r="DO111" s="84">
        <v>140</v>
      </c>
      <c r="DP111" s="84">
        <v>140</v>
      </c>
    </row>
    <row r="112" s="76" customFormat="1" ht="15.75" customHeight="1">
      <c r="A112" s="71">
        <v>3000000</v>
      </c>
      <c r="B112" s="72" t="s">
        <v>309</v>
      </c>
      <c r="C112" s="73" t="s">
        <v>310</v>
      </c>
      <c r="D112" s="71">
        <v>3340000</v>
      </c>
      <c r="E112" s="73" t="s">
        <v>359</v>
      </c>
      <c r="F112" s="74"/>
      <c r="G112" s="74"/>
      <c r="H112" s="74"/>
      <c r="I112" s="72"/>
      <c r="J112" s="72"/>
      <c r="L112" s="72" t="s">
        <v>365</v>
      </c>
      <c r="M112" s="73" t="s">
        <v>359</v>
      </c>
      <c r="N112" s="77"/>
      <c r="O112" s="77"/>
      <c r="T112" s="77"/>
      <c r="U112" s="76" t="s">
        <v>267</v>
      </c>
      <c r="W112" s="76" t="s">
        <v>315</v>
      </c>
      <c r="X112" s="77" t="s">
        <v>324</v>
      </c>
      <c r="AD112" s="76" t="s">
        <v>170</v>
      </c>
      <c r="AE112" s="76" t="s">
        <v>171</v>
      </c>
      <c r="AF112" s="76" t="s">
        <v>171</v>
      </c>
      <c r="AG112" s="77"/>
      <c r="AH112" s="77"/>
      <c r="AI112" s="77"/>
      <c r="AJ112" s="77"/>
      <c r="AK112" s="77"/>
      <c r="AM112" s="77" t="s">
        <v>173</v>
      </c>
      <c r="AN112" s="99" t="s">
        <v>174</v>
      </c>
      <c r="AO112" s="76">
        <v>500</v>
      </c>
      <c r="AP112" s="82">
        <v>100000</v>
      </c>
      <c r="AQ112" s="86">
        <v>9.4000000000000004</v>
      </c>
      <c r="AR112" s="76" t="s">
        <v>147</v>
      </c>
      <c r="AS112" s="84">
        <f t="shared" si="36"/>
        <v>276</v>
      </c>
      <c r="AT112" s="84">
        <f t="shared" si="37"/>
        <v>109.3125</v>
      </c>
      <c r="AU112" s="85">
        <v>7</v>
      </c>
      <c r="AV112" s="85">
        <v>4</v>
      </c>
      <c r="AW112" s="86">
        <v>24</v>
      </c>
      <c r="AX112" s="84">
        <f t="shared" si="38"/>
        <v>288</v>
      </c>
      <c r="AY112" s="84">
        <f t="shared" si="39"/>
        <v>109.07250000000001</v>
      </c>
      <c r="AZ112" s="85">
        <v>7</v>
      </c>
      <c r="BA112" s="85">
        <v>4</v>
      </c>
      <c r="BB112" s="86">
        <v>15</v>
      </c>
      <c r="BC112" s="84">
        <f t="shared" si="40"/>
        <v>410.63999999999999</v>
      </c>
      <c r="BD112" s="84">
        <f t="shared" si="41"/>
        <v>107.15249999999999</v>
      </c>
      <c r="BE112" s="85">
        <v>8</v>
      </c>
      <c r="BF112" s="85">
        <v>5</v>
      </c>
      <c r="BG112" s="86">
        <v>13</v>
      </c>
      <c r="BH112" s="84">
        <f t="shared" si="42"/>
        <v>713.75999999999999</v>
      </c>
      <c r="BI112" s="84">
        <f t="shared" si="43"/>
        <v>106.4325</v>
      </c>
      <c r="BJ112" s="85">
        <v>10</v>
      </c>
      <c r="BK112" s="85">
        <v>7</v>
      </c>
      <c r="BL112" s="86">
        <v>15</v>
      </c>
      <c r="BM112" s="71">
        <v>5000</v>
      </c>
      <c r="BN112" s="84">
        <f t="shared" si="44"/>
        <v>822.5625</v>
      </c>
      <c r="BO112" s="71">
        <v>5100</v>
      </c>
      <c r="BP112" s="84">
        <f t="shared" si="45"/>
        <v>844.26975000000004</v>
      </c>
      <c r="BQ112" s="71">
        <v>50000</v>
      </c>
      <c r="BR112" s="84">
        <f t="shared" si="46"/>
        <v>5768.2649999999994</v>
      </c>
      <c r="BS112" s="71">
        <v>51000</v>
      </c>
      <c r="BT112" s="84">
        <f t="shared" si="47"/>
        <v>6141.8175000000001</v>
      </c>
      <c r="BU112" s="84">
        <v>80</v>
      </c>
      <c r="BV112" s="84">
        <v>27.25</v>
      </c>
      <c r="BY112" s="84">
        <v>80</v>
      </c>
      <c r="BZ112" s="84">
        <v>27.25</v>
      </c>
      <c r="CC112" s="84">
        <v>80</v>
      </c>
      <c r="CD112" s="84">
        <v>27.25</v>
      </c>
      <c r="CG112" s="84">
        <v>80</v>
      </c>
      <c r="CH112" s="84">
        <v>27.25</v>
      </c>
      <c r="CK112" s="84">
        <v>125</v>
      </c>
      <c r="CL112" s="84">
        <v>125</v>
      </c>
      <c r="CM112" s="84">
        <v>125</v>
      </c>
      <c r="CN112" s="84">
        <v>125</v>
      </c>
      <c r="CO112" s="84">
        <v>125</v>
      </c>
      <c r="CP112" s="84">
        <v>125</v>
      </c>
      <c r="CQ112" s="84">
        <v>125</v>
      </c>
      <c r="CR112" s="84">
        <v>125</v>
      </c>
      <c r="CS112" s="112">
        <v>40</v>
      </c>
      <c r="CT112" s="112">
        <v>20</v>
      </c>
      <c r="CU112" s="76" t="s">
        <v>175</v>
      </c>
      <c r="CW112" s="112">
        <v>45</v>
      </c>
      <c r="CX112" s="112">
        <v>19.899999999999999</v>
      </c>
      <c r="CY112" s="76" t="s">
        <v>175</v>
      </c>
      <c r="DA112" s="112">
        <v>96.099999999999994</v>
      </c>
      <c r="DB112" s="112">
        <v>19.100000000000001</v>
      </c>
      <c r="DC112" s="76" t="s">
        <v>175</v>
      </c>
      <c r="DE112" s="112">
        <v>222.40000000000001</v>
      </c>
      <c r="DF112" s="112">
        <v>18.800000000000001</v>
      </c>
      <c r="DG112" s="76" t="s">
        <v>175</v>
      </c>
      <c r="DI112" s="84">
        <v>140</v>
      </c>
      <c r="DJ112" s="84">
        <v>140</v>
      </c>
      <c r="DK112" s="84">
        <v>140</v>
      </c>
      <c r="DL112" s="84">
        <v>140</v>
      </c>
      <c r="DM112" s="84">
        <v>140</v>
      </c>
      <c r="DN112" s="84">
        <v>140</v>
      </c>
      <c r="DO112" s="84">
        <v>140</v>
      </c>
      <c r="DP112" s="84">
        <v>140</v>
      </c>
    </row>
    <row r="113" s="76" customFormat="1" ht="15.75" customHeight="1">
      <c r="A113" s="71">
        <v>3000000</v>
      </c>
      <c r="B113" s="72" t="s">
        <v>309</v>
      </c>
      <c r="C113" s="73" t="s">
        <v>310</v>
      </c>
      <c r="D113" s="71">
        <v>3340000</v>
      </c>
      <c r="E113" s="73" t="s">
        <v>359</v>
      </c>
      <c r="F113" s="74"/>
      <c r="G113" s="74"/>
      <c r="H113" s="74"/>
      <c r="I113" s="72"/>
      <c r="J113" s="72"/>
      <c r="L113" s="72" t="s">
        <v>366</v>
      </c>
      <c r="M113" s="73" t="s">
        <v>359</v>
      </c>
      <c r="N113" s="77"/>
      <c r="O113" s="77"/>
      <c r="T113" s="77"/>
      <c r="U113" s="76" t="s">
        <v>267</v>
      </c>
      <c r="W113" s="76" t="s">
        <v>315</v>
      </c>
      <c r="X113" s="77" t="s">
        <v>324</v>
      </c>
      <c r="AD113" s="76" t="s">
        <v>170</v>
      </c>
      <c r="AE113" s="76" t="s">
        <v>171</v>
      </c>
      <c r="AF113" s="76" t="s">
        <v>171</v>
      </c>
      <c r="AG113" s="77"/>
      <c r="AH113" s="77"/>
      <c r="AI113" s="77"/>
      <c r="AJ113" s="77"/>
      <c r="AK113" s="77"/>
      <c r="AM113" s="77" t="s">
        <v>319</v>
      </c>
      <c r="AN113" s="99" t="s">
        <v>174</v>
      </c>
      <c r="AO113" s="76">
        <v>500</v>
      </c>
      <c r="AP113" s="82">
        <v>100000</v>
      </c>
      <c r="AQ113" s="86">
        <v>9.4000000000000004</v>
      </c>
      <c r="AR113" s="76" t="s">
        <v>147</v>
      </c>
      <c r="AS113" s="84">
        <f t="shared" si="36"/>
        <v>288</v>
      </c>
      <c r="AT113" s="84">
        <f t="shared" si="37"/>
        <v>117.71250000000001</v>
      </c>
      <c r="AU113" s="85">
        <v>7</v>
      </c>
      <c r="AV113" s="85">
        <v>4</v>
      </c>
      <c r="AW113" s="86">
        <v>24</v>
      </c>
      <c r="AX113" s="84">
        <f t="shared" si="38"/>
        <v>300</v>
      </c>
      <c r="AY113" s="84">
        <f t="shared" si="39"/>
        <v>116.5125</v>
      </c>
      <c r="AZ113" s="85">
        <v>7</v>
      </c>
      <c r="BA113" s="85">
        <v>4</v>
      </c>
      <c r="BB113" s="86">
        <v>15</v>
      </c>
      <c r="BC113" s="84">
        <f t="shared" si="40"/>
        <v>442.07999999999998</v>
      </c>
      <c r="BD113" s="84">
        <f t="shared" si="41"/>
        <v>114.1125</v>
      </c>
      <c r="BE113" s="85">
        <v>8</v>
      </c>
      <c r="BF113" s="85">
        <v>5</v>
      </c>
      <c r="BG113" s="86">
        <v>13</v>
      </c>
      <c r="BH113" s="84">
        <f t="shared" si="42"/>
        <v>786.24000000000001</v>
      </c>
      <c r="BI113" s="84">
        <f t="shared" si="43"/>
        <v>113.8725</v>
      </c>
      <c r="BJ113" s="85">
        <v>10</v>
      </c>
      <c r="BK113" s="85">
        <v>7</v>
      </c>
      <c r="BL113" s="86">
        <v>15</v>
      </c>
      <c r="BM113" s="71">
        <v>5000</v>
      </c>
      <c r="BN113" s="84">
        <f t="shared" si="44"/>
        <v>876.5625</v>
      </c>
      <c r="BO113" s="71">
        <v>5100</v>
      </c>
      <c r="BP113" s="84">
        <f t="shared" si="45"/>
        <v>894.21375</v>
      </c>
      <c r="BQ113" s="71">
        <v>50000</v>
      </c>
      <c r="BR113" s="84">
        <f t="shared" si="46"/>
        <v>6147.7049999999999</v>
      </c>
      <c r="BS113" s="71">
        <v>51000</v>
      </c>
      <c r="BT113" s="84">
        <f t="shared" si="47"/>
        <v>6593.7375000000002</v>
      </c>
      <c r="BU113" s="84">
        <v>80</v>
      </c>
      <c r="BV113" s="84">
        <v>27.25</v>
      </c>
      <c r="BY113" s="84">
        <v>80</v>
      </c>
      <c r="BZ113" s="84">
        <v>27.25</v>
      </c>
      <c r="CC113" s="84">
        <v>80</v>
      </c>
      <c r="CD113" s="84">
        <v>27.25</v>
      </c>
      <c r="CG113" s="84">
        <v>80</v>
      </c>
      <c r="CH113" s="84">
        <v>27.25</v>
      </c>
      <c r="CK113" s="84">
        <v>125</v>
      </c>
      <c r="CL113" s="84">
        <v>125</v>
      </c>
      <c r="CM113" s="84">
        <v>125</v>
      </c>
      <c r="CN113" s="84">
        <v>125</v>
      </c>
      <c r="CO113" s="84">
        <v>125</v>
      </c>
      <c r="CP113" s="84">
        <v>125</v>
      </c>
      <c r="CQ113" s="84">
        <v>125</v>
      </c>
      <c r="CR113" s="84">
        <v>125</v>
      </c>
      <c r="CS113" s="112">
        <v>45</v>
      </c>
      <c r="CT113" s="112">
        <v>23.5</v>
      </c>
      <c r="CU113" s="76" t="s">
        <v>175</v>
      </c>
      <c r="CW113" s="112">
        <v>50</v>
      </c>
      <c r="CX113" s="112">
        <v>23</v>
      </c>
      <c r="CY113" s="76" t="s">
        <v>175</v>
      </c>
      <c r="DA113" s="112">
        <v>109.2</v>
      </c>
      <c r="DB113" s="112">
        <v>22</v>
      </c>
      <c r="DC113" s="76" t="s">
        <v>175</v>
      </c>
      <c r="DE113" s="112">
        <v>252.59999999999999</v>
      </c>
      <c r="DF113" s="112">
        <v>21.899999999999999</v>
      </c>
      <c r="DG113" s="76" t="s">
        <v>175</v>
      </c>
      <c r="DI113" s="84">
        <v>140</v>
      </c>
      <c r="DJ113" s="84">
        <v>140</v>
      </c>
      <c r="DK113" s="84">
        <v>140</v>
      </c>
      <c r="DL113" s="84">
        <v>140</v>
      </c>
      <c r="DM113" s="84">
        <v>140</v>
      </c>
      <c r="DN113" s="84">
        <v>140</v>
      </c>
      <c r="DO113" s="84">
        <v>140</v>
      </c>
      <c r="DP113" s="84">
        <v>140</v>
      </c>
    </row>
    <row r="114" s="76" customFormat="1" ht="15.75" customHeight="1">
      <c r="A114" s="71">
        <v>3000000</v>
      </c>
      <c r="B114" s="72" t="s">
        <v>309</v>
      </c>
      <c r="C114" s="73" t="s">
        <v>310</v>
      </c>
      <c r="D114" s="71">
        <v>3340000</v>
      </c>
      <c r="E114" s="73" t="s">
        <v>359</v>
      </c>
      <c r="F114" s="74"/>
      <c r="G114" s="74"/>
      <c r="H114" s="74"/>
      <c r="I114" s="72"/>
      <c r="J114" s="72"/>
      <c r="L114" s="72" t="s">
        <v>367</v>
      </c>
      <c r="M114" s="73" t="s">
        <v>359</v>
      </c>
      <c r="N114" s="77"/>
      <c r="O114" s="77"/>
      <c r="T114" s="77"/>
      <c r="U114" s="76" t="s">
        <v>267</v>
      </c>
      <c r="W114" s="76" t="s">
        <v>315</v>
      </c>
      <c r="X114" s="77" t="s">
        <v>327</v>
      </c>
      <c r="AD114" s="76" t="s">
        <v>170</v>
      </c>
      <c r="AE114" s="76" t="s">
        <v>171</v>
      </c>
      <c r="AF114" s="76" t="s">
        <v>171</v>
      </c>
      <c r="AG114" s="77"/>
      <c r="AH114" s="77"/>
      <c r="AI114" s="77"/>
      <c r="AJ114" s="77"/>
      <c r="AK114" s="77"/>
      <c r="AM114" s="77" t="s">
        <v>173</v>
      </c>
      <c r="AN114" s="99" t="s">
        <v>174</v>
      </c>
      <c r="AO114" s="76">
        <v>500</v>
      </c>
      <c r="AP114" s="82">
        <v>100000</v>
      </c>
      <c r="AQ114" s="86">
        <v>11</v>
      </c>
      <c r="AR114" s="76" t="s">
        <v>147</v>
      </c>
      <c r="AS114" s="84">
        <f t="shared" si="36"/>
        <v>288</v>
      </c>
      <c r="AT114" s="84">
        <f t="shared" si="37"/>
        <v>126.1125</v>
      </c>
      <c r="AU114" s="85">
        <v>7</v>
      </c>
      <c r="AV114" s="85">
        <v>4</v>
      </c>
      <c r="AW114" s="86">
        <v>24</v>
      </c>
      <c r="AX114" s="84">
        <f t="shared" si="38"/>
        <v>300</v>
      </c>
      <c r="AY114" s="84">
        <f t="shared" si="39"/>
        <v>122.5125</v>
      </c>
      <c r="AZ114" s="85">
        <v>7</v>
      </c>
      <c r="BA114" s="85">
        <v>4</v>
      </c>
      <c r="BB114" s="86">
        <v>15</v>
      </c>
      <c r="BC114" s="84">
        <f t="shared" si="40"/>
        <v>421.19999999999999</v>
      </c>
      <c r="BD114" s="84">
        <f t="shared" si="41"/>
        <v>121.07250000000001</v>
      </c>
      <c r="BE114" s="85">
        <v>8</v>
      </c>
      <c r="BF114" s="85">
        <v>5</v>
      </c>
      <c r="BG114" s="86">
        <v>13</v>
      </c>
      <c r="BH114" s="84">
        <f t="shared" si="42"/>
        <v>730.07999999999993</v>
      </c>
      <c r="BI114" s="84">
        <f t="shared" si="43"/>
        <v>120.5925</v>
      </c>
      <c r="BJ114" s="85">
        <v>10</v>
      </c>
      <c r="BK114" s="85">
        <v>7</v>
      </c>
      <c r="BL114" s="86">
        <v>15</v>
      </c>
      <c r="BM114" s="71">
        <v>5000</v>
      </c>
      <c r="BN114" s="84">
        <f t="shared" si="44"/>
        <v>918.5625</v>
      </c>
      <c r="BO114" s="71">
        <v>5100</v>
      </c>
      <c r="BP114" s="84">
        <f t="shared" si="45"/>
        <v>924.81375000000003</v>
      </c>
      <c r="BQ114" s="71">
        <v>50000</v>
      </c>
      <c r="BR114" s="84">
        <f t="shared" si="46"/>
        <v>6474.8249999999998</v>
      </c>
      <c r="BS114" s="71">
        <v>51000</v>
      </c>
      <c r="BT114" s="84">
        <f t="shared" si="47"/>
        <v>6880.2974999999997</v>
      </c>
      <c r="BU114" s="84">
        <v>80</v>
      </c>
      <c r="BV114" s="84">
        <v>27.25</v>
      </c>
      <c r="BY114" s="84">
        <v>80</v>
      </c>
      <c r="BZ114" s="84">
        <v>27.25</v>
      </c>
      <c r="CC114" s="84">
        <v>80</v>
      </c>
      <c r="CD114" s="84">
        <v>27.25</v>
      </c>
      <c r="CG114" s="84">
        <v>80</v>
      </c>
      <c r="CH114" s="84">
        <v>27.25</v>
      </c>
      <c r="CK114" s="84">
        <v>125</v>
      </c>
      <c r="CL114" s="84">
        <v>125</v>
      </c>
      <c r="CM114" s="84">
        <v>125</v>
      </c>
      <c r="CN114" s="84">
        <v>125</v>
      </c>
      <c r="CO114" s="84">
        <v>125</v>
      </c>
      <c r="CP114" s="84">
        <v>125</v>
      </c>
      <c r="CQ114" s="84">
        <v>125</v>
      </c>
      <c r="CR114" s="84">
        <v>125</v>
      </c>
      <c r="CS114" s="112">
        <v>45</v>
      </c>
      <c r="CT114" s="112">
        <v>27</v>
      </c>
      <c r="CU114" s="76" t="s">
        <v>175</v>
      </c>
      <c r="CW114" s="112">
        <v>50</v>
      </c>
      <c r="CX114" s="112">
        <v>25.5</v>
      </c>
      <c r="CY114" s="76" t="s">
        <v>175</v>
      </c>
      <c r="DA114" s="112">
        <v>100.5</v>
      </c>
      <c r="DB114" s="112">
        <v>24.899999999999999</v>
      </c>
      <c r="DC114" s="76" t="s">
        <v>175</v>
      </c>
      <c r="DE114" s="112">
        <v>229.19999999999999</v>
      </c>
      <c r="DF114" s="112">
        <v>24.699999999999999</v>
      </c>
      <c r="DG114" s="76" t="s">
        <v>175</v>
      </c>
      <c r="DI114" s="84">
        <v>140</v>
      </c>
      <c r="DJ114" s="84">
        <v>140</v>
      </c>
      <c r="DK114" s="84">
        <v>140</v>
      </c>
      <c r="DL114" s="84">
        <v>140</v>
      </c>
      <c r="DM114" s="84">
        <v>140</v>
      </c>
      <c r="DN114" s="84">
        <v>140</v>
      </c>
      <c r="DO114" s="84">
        <v>140</v>
      </c>
      <c r="DP114" s="84">
        <v>140</v>
      </c>
    </row>
    <row r="115" s="76" customFormat="1" ht="15.75" customHeight="1">
      <c r="A115" s="71">
        <v>3000000</v>
      </c>
      <c r="B115" s="72" t="s">
        <v>309</v>
      </c>
      <c r="C115" s="73" t="s">
        <v>310</v>
      </c>
      <c r="D115" s="71">
        <v>3340000</v>
      </c>
      <c r="E115" s="73" t="s">
        <v>359</v>
      </c>
      <c r="F115" s="74"/>
      <c r="G115" s="74"/>
      <c r="H115" s="74"/>
      <c r="I115" s="72"/>
      <c r="J115" s="72"/>
      <c r="L115" s="72" t="s">
        <v>368</v>
      </c>
      <c r="M115" s="73" t="s">
        <v>359</v>
      </c>
      <c r="N115" s="77"/>
      <c r="O115" s="77"/>
      <c r="T115" s="77"/>
      <c r="U115" s="76" t="s">
        <v>267</v>
      </c>
      <c r="W115" s="76" t="s">
        <v>315</v>
      </c>
      <c r="X115" s="77" t="s">
        <v>327</v>
      </c>
      <c r="AD115" s="76" t="s">
        <v>170</v>
      </c>
      <c r="AE115" s="76" t="s">
        <v>171</v>
      </c>
      <c r="AF115" s="76" t="s">
        <v>171</v>
      </c>
      <c r="AG115" s="77"/>
      <c r="AH115" s="77"/>
      <c r="AI115" s="77"/>
      <c r="AJ115" s="77"/>
      <c r="AK115" s="77"/>
      <c r="AM115" s="77" t="s">
        <v>319</v>
      </c>
      <c r="AN115" s="99" t="s">
        <v>174</v>
      </c>
      <c r="AO115" s="76">
        <v>500</v>
      </c>
      <c r="AP115" s="82">
        <v>100000</v>
      </c>
      <c r="AQ115" s="86">
        <v>11</v>
      </c>
      <c r="AR115" s="76" t="s">
        <v>147</v>
      </c>
      <c r="AS115" s="84">
        <f t="shared" si="36"/>
        <v>300</v>
      </c>
      <c r="AT115" s="84">
        <f t="shared" si="37"/>
        <v>126.1125</v>
      </c>
      <c r="AU115" s="85">
        <v>7</v>
      </c>
      <c r="AV115" s="85">
        <v>4</v>
      </c>
      <c r="AW115" s="86">
        <v>24</v>
      </c>
      <c r="AX115" s="84">
        <f t="shared" si="38"/>
        <v>300</v>
      </c>
      <c r="AY115" s="84">
        <f t="shared" si="39"/>
        <v>124.4325</v>
      </c>
      <c r="AZ115" s="85">
        <v>7</v>
      </c>
      <c r="BA115" s="85">
        <v>4</v>
      </c>
      <c r="BB115" s="86">
        <v>15</v>
      </c>
      <c r="BC115" s="84">
        <f t="shared" si="40"/>
        <v>432.24000000000001</v>
      </c>
      <c r="BD115" s="84">
        <f t="shared" si="41"/>
        <v>121.7925</v>
      </c>
      <c r="BE115" s="85">
        <v>8</v>
      </c>
      <c r="BF115" s="85">
        <v>5</v>
      </c>
      <c r="BG115" s="86">
        <v>13</v>
      </c>
      <c r="BH115" s="84">
        <f t="shared" si="42"/>
        <v>756.96000000000004</v>
      </c>
      <c r="BI115" s="84">
        <f t="shared" si="43"/>
        <v>121.55249999999999</v>
      </c>
      <c r="BJ115" s="85">
        <v>10</v>
      </c>
      <c r="BK115" s="85">
        <v>7</v>
      </c>
      <c r="BL115" s="86">
        <v>15</v>
      </c>
      <c r="BM115" s="71">
        <v>5000</v>
      </c>
      <c r="BN115" s="84">
        <f t="shared" si="44"/>
        <v>930.5625</v>
      </c>
      <c r="BO115" s="71">
        <v>5100</v>
      </c>
      <c r="BP115" s="84">
        <f t="shared" si="45"/>
        <v>934.60574999999994</v>
      </c>
      <c r="BQ115" s="71">
        <v>50000</v>
      </c>
      <c r="BR115" s="84">
        <f t="shared" si="46"/>
        <v>6521.8649999999998</v>
      </c>
      <c r="BS115" s="71">
        <v>51000</v>
      </c>
      <c r="BT115" s="84">
        <f t="shared" si="47"/>
        <v>6956.1374999999998</v>
      </c>
      <c r="BU115" s="84">
        <v>80</v>
      </c>
      <c r="BV115" s="84">
        <v>27.25</v>
      </c>
      <c r="BY115" s="84">
        <v>80</v>
      </c>
      <c r="BZ115" s="84">
        <v>27.25</v>
      </c>
      <c r="CC115" s="84">
        <v>80</v>
      </c>
      <c r="CD115" s="84">
        <v>27.25</v>
      </c>
      <c r="CG115" s="84">
        <v>80</v>
      </c>
      <c r="CH115" s="84">
        <v>27.25</v>
      </c>
      <c r="CK115" s="84">
        <v>125</v>
      </c>
      <c r="CL115" s="84">
        <v>125</v>
      </c>
      <c r="CM115" s="84">
        <v>125</v>
      </c>
      <c r="CN115" s="84">
        <v>125</v>
      </c>
      <c r="CO115" s="84">
        <v>125</v>
      </c>
      <c r="CP115" s="84">
        <v>125</v>
      </c>
      <c r="CQ115" s="84">
        <v>125</v>
      </c>
      <c r="CR115" s="84">
        <v>125</v>
      </c>
      <c r="CS115" s="112">
        <v>50</v>
      </c>
      <c r="CT115" s="112">
        <v>27</v>
      </c>
      <c r="CU115" s="76" t="s">
        <v>175</v>
      </c>
      <c r="CW115" s="112">
        <v>50</v>
      </c>
      <c r="CX115" s="112">
        <v>26.300000000000001</v>
      </c>
      <c r="CY115" s="76" t="s">
        <v>175</v>
      </c>
      <c r="DA115" s="112">
        <v>105.09999999999999</v>
      </c>
      <c r="DB115" s="112">
        <v>25.199999999999999</v>
      </c>
      <c r="DC115" s="76" t="s">
        <v>175</v>
      </c>
      <c r="DE115" s="112">
        <v>240.40000000000001</v>
      </c>
      <c r="DF115" s="112">
        <v>25.100000000000001</v>
      </c>
      <c r="DG115" s="76" t="s">
        <v>175</v>
      </c>
      <c r="DI115" s="84">
        <v>140</v>
      </c>
      <c r="DJ115" s="84">
        <v>140</v>
      </c>
      <c r="DK115" s="84">
        <v>140</v>
      </c>
      <c r="DL115" s="84">
        <v>140</v>
      </c>
      <c r="DM115" s="84">
        <v>140</v>
      </c>
      <c r="DN115" s="84">
        <v>140</v>
      </c>
      <c r="DO115" s="84">
        <v>140</v>
      </c>
      <c r="DP115" s="84">
        <v>140</v>
      </c>
    </row>
    <row r="116" s="51" customFormat="1" ht="15.75" customHeight="1">
      <c r="A116" s="52">
        <v>3000000</v>
      </c>
      <c r="B116" s="53" t="s">
        <v>309</v>
      </c>
      <c r="C116" s="54" t="s">
        <v>310</v>
      </c>
      <c r="D116" s="52">
        <v>3350000</v>
      </c>
      <c r="E116" s="54" t="s">
        <v>369</v>
      </c>
      <c r="F116" s="55"/>
      <c r="G116" s="55"/>
      <c r="H116" s="55"/>
      <c r="I116" s="53"/>
      <c r="J116" s="53"/>
      <c r="L116" s="53" t="s">
        <v>370</v>
      </c>
      <c r="M116" s="54" t="s">
        <v>369</v>
      </c>
      <c r="N116" s="57" t="s">
        <v>371</v>
      </c>
      <c r="O116" s="57"/>
      <c r="T116" s="57"/>
      <c r="U116" s="51" t="s">
        <v>372</v>
      </c>
      <c r="W116" s="51" t="s">
        <v>315</v>
      </c>
      <c r="X116" s="57" t="s">
        <v>316</v>
      </c>
      <c r="AD116" s="51" t="s">
        <v>170</v>
      </c>
      <c r="AE116" s="51" t="s">
        <v>171</v>
      </c>
      <c r="AF116" s="51" t="s">
        <v>171</v>
      </c>
      <c r="AG116" s="57"/>
      <c r="AH116" s="57"/>
      <c r="AI116" s="57"/>
      <c r="AJ116" s="57"/>
      <c r="AK116" s="57"/>
      <c r="AM116" s="57" t="s">
        <v>173</v>
      </c>
      <c r="AN116" s="106" t="s">
        <v>174</v>
      </c>
      <c r="AO116" s="51">
        <v>500</v>
      </c>
      <c r="AP116" s="60">
        <v>100000</v>
      </c>
      <c r="AQ116" s="64">
        <v>16.399999999999999</v>
      </c>
      <c r="AR116" s="51" t="s">
        <v>147</v>
      </c>
      <c r="AS116" s="62">
        <f t="shared" si="36"/>
        <v>393.75</v>
      </c>
      <c r="AT116" s="62">
        <f t="shared" si="37"/>
        <v>182.8125</v>
      </c>
      <c r="AU116" s="63">
        <v>8</v>
      </c>
      <c r="AV116" s="63">
        <v>5</v>
      </c>
      <c r="AW116" s="64">
        <v>24</v>
      </c>
      <c r="AX116" s="62">
        <f t="shared" si="38"/>
        <v>417.75</v>
      </c>
      <c r="AY116" s="62">
        <f t="shared" si="39"/>
        <v>181.61250000000001</v>
      </c>
      <c r="AZ116" s="63">
        <v>8</v>
      </c>
      <c r="BA116" s="63">
        <v>5</v>
      </c>
      <c r="BB116" s="64">
        <v>15</v>
      </c>
      <c r="BC116" s="62">
        <f t="shared" si="40"/>
        <v>696.3900000000001</v>
      </c>
      <c r="BD116" s="62">
        <f t="shared" si="41"/>
        <v>175.61250000000001</v>
      </c>
      <c r="BE116" s="63">
        <v>9</v>
      </c>
      <c r="BF116" s="63">
        <v>6</v>
      </c>
      <c r="BG116" s="64">
        <v>13</v>
      </c>
      <c r="BH116" s="62">
        <f t="shared" si="42"/>
        <v>1295.4300000000001</v>
      </c>
      <c r="BI116" s="62">
        <f t="shared" si="43"/>
        <v>174.89250000000001</v>
      </c>
      <c r="BJ116" s="63">
        <v>11</v>
      </c>
      <c r="BK116" s="63">
        <v>8</v>
      </c>
      <c r="BL116" s="64">
        <v>15</v>
      </c>
      <c r="BM116" s="52">
        <v>5000</v>
      </c>
      <c r="BN116" s="62">
        <f t="shared" si="44"/>
        <v>1307.8125</v>
      </c>
      <c r="BO116" s="52">
        <v>5100</v>
      </c>
      <c r="BP116" s="62">
        <f t="shared" si="45"/>
        <v>1343.9737500000001</v>
      </c>
      <c r="BQ116" s="52">
        <v>50000</v>
      </c>
      <c r="BR116" s="62">
        <f t="shared" si="46"/>
        <v>9477.0149999999994</v>
      </c>
      <c r="BS116" s="52">
        <v>51000</v>
      </c>
      <c r="BT116" s="62">
        <f t="shared" si="47"/>
        <v>10214.9475</v>
      </c>
      <c r="BU116" s="62">
        <v>95</v>
      </c>
      <c r="BV116" s="62">
        <v>33.25</v>
      </c>
      <c r="BY116" s="62">
        <v>95</v>
      </c>
      <c r="BZ116" s="62">
        <v>33.25</v>
      </c>
      <c r="CC116" s="62">
        <v>95</v>
      </c>
      <c r="CD116" s="62">
        <v>33.25</v>
      </c>
      <c r="CG116" s="62">
        <v>95</v>
      </c>
      <c r="CH116" s="62">
        <v>33.25</v>
      </c>
      <c r="CK116" s="62">
        <v>125</v>
      </c>
      <c r="CL116" s="62">
        <v>125</v>
      </c>
      <c r="CM116" s="62">
        <v>125</v>
      </c>
      <c r="CN116" s="62">
        <v>125</v>
      </c>
      <c r="CO116" s="62">
        <v>125</v>
      </c>
      <c r="CP116" s="62">
        <v>125</v>
      </c>
      <c r="CQ116" s="62">
        <v>125</v>
      </c>
      <c r="CR116" s="62">
        <v>125</v>
      </c>
      <c r="CS116" s="130">
        <v>75</v>
      </c>
      <c r="CT116" s="130">
        <v>45</v>
      </c>
      <c r="CU116" s="51" t="s">
        <v>175</v>
      </c>
      <c r="CW116" s="130">
        <v>85</v>
      </c>
      <c r="CX116" s="130">
        <v>44.5</v>
      </c>
      <c r="CY116" s="51" t="s">
        <v>175</v>
      </c>
      <c r="DA116" s="130">
        <v>201.09999999999999</v>
      </c>
      <c r="DB116" s="130">
        <v>42</v>
      </c>
      <c r="DC116" s="51" t="s">
        <v>175</v>
      </c>
      <c r="DE116" s="130">
        <v>450.69999999999999</v>
      </c>
      <c r="DF116" s="130">
        <v>41.700000000000003</v>
      </c>
      <c r="DG116" s="51" t="s">
        <v>175</v>
      </c>
      <c r="DI116" s="62">
        <v>140</v>
      </c>
      <c r="DJ116" s="62">
        <v>140</v>
      </c>
      <c r="DK116" s="62">
        <v>140</v>
      </c>
      <c r="DL116" s="62">
        <v>140</v>
      </c>
      <c r="DM116" s="62">
        <v>140</v>
      </c>
      <c r="DN116" s="62">
        <v>140</v>
      </c>
      <c r="DO116" s="62">
        <v>140</v>
      </c>
      <c r="DP116" s="62">
        <v>140</v>
      </c>
    </row>
    <row r="117" s="51" customFormat="1" ht="15.75" customHeight="1">
      <c r="A117" s="52">
        <v>3000000</v>
      </c>
      <c r="B117" s="53" t="s">
        <v>309</v>
      </c>
      <c r="C117" s="54" t="s">
        <v>310</v>
      </c>
      <c r="D117" s="52">
        <v>3350000</v>
      </c>
      <c r="E117" s="54" t="s">
        <v>369</v>
      </c>
      <c r="F117" s="55"/>
      <c r="G117" s="55"/>
      <c r="H117" s="55"/>
      <c r="I117" s="53"/>
      <c r="J117" s="53"/>
      <c r="L117" s="53" t="s">
        <v>373</v>
      </c>
      <c r="M117" s="54" t="s">
        <v>369</v>
      </c>
      <c r="N117" s="57"/>
      <c r="O117" s="57"/>
      <c r="T117" s="57"/>
      <c r="U117" s="51" t="s">
        <v>372</v>
      </c>
      <c r="W117" s="51" t="s">
        <v>315</v>
      </c>
      <c r="X117" s="57" t="s">
        <v>316</v>
      </c>
      <c r="AD117" s="51" t="s">
        <v>170</v>
      </c>
      <c r="AE117" s="51" t="s">
        <v>171</v>
      </c>
      <c r="AF117" s="51" t="s">
        <v>171</v>
      </c>
      <c r="AG117" s="57"/>
      <c r="AH117" s="57"/>
      <c r="AI117" s="57"/>
      <c r="AJ117" s="57"/>
      <c r="AK117" s="57"/>
      <c r="AM117" s="57" t="s">
        <v>319</v>
      </c>
      <c r="AN117" s="106" t="s">
        <v>174</v>
      </c>
      <c r="AO117" s="51">
        <v>500</v>
      </c>
      <c r="AP117" s="60">
        <v>100000</v>
      </c>
      <c r="AQ117" s="64">
        <v>16.399999999999999</v>
      </c>
      <c r="AR117" s="51" t="s">
        <v>147</v>
      </c>
      <c r="AS117" s="62">
        <f t="shared" si="36"/>
        <v>453.75</v>
      </c>
      <c r="AT117" s="62">
        <f t="shared" si="37"/>
        <v>194.8125</v>
      </c>
      <c r="AU117" s="63">
        <v>8</v>
      </c>
      <c r="AV117" s="63">
        <v>5</v>
      </c>
      <c r="AW117" s="64">
        <v>24</v>
      </c>
      <c r="AX117" s="62">
        <f t="shared" si="38"/>
        <v>441.75</v>
      </c>
      <c r="AY117" s="62">
        <f t="shared" si="39"/>
        <v>207.05250000000001</v>
      </c>
      <c r="AZ117" s="63">
        <v>8</v>
      </c>
      <c r="BA117" s="63">
        <v>5</v>
      </c>
      <c r="BB117" s="64">
        <v>15</v>
      </c>
      <c r="BC117" s="62">
        <f t="shared" si="40"/>
        <v>796.47000000000003</v>
      </c>
      <c r="BD117" s="62">
        <f t="shared" si="41"/>
        <v>202.49250000000001</v>
      </c>
      <c r="BE117" s="63">
        <v>9</v>
      </c>
      <c r="BF117" s="63">
        <v>6</v>
      </c>
      <c r="BG117" s="64">
        <v>13</v>
      </c>
      <c r="BH117" s="62">
        <f t="shared" si="42"/>
        <v>1377.27</v>
      </c>
      <c r="BI117" s="62">
        <f t="shared" si="43"/>
        <v>202.01249999999999</v>
      </c>
      <c r="BJ117" s="63">
        <v>11</v>
      </c>
      <c r="BK117" s="63">
        <v>8</v>
      </c>
      <c r="BL117" s="64">
        <v>15</v>
      </c>
      <c r="BM117" s="52">
        <v>5000</v>
      </c>
      <c r="BN117" s="62">
        <f t="shared" si="44"/>
        <v>1427.8125</v>
      </c>
      <c r="BO117" s="52">
        <v>5100</v>
      </c>
      <c r="BP117" s="62">
        <f t="shared" si="45"/>
        <v>1497.71775</v>
      </c>
      <c r="BQ117" s="52">
        <v>50000</v>
      </c>
      <c r="BR117" s="62">
        <f t="shared" si="46"/>
        <v>10921.094999999999</v>
      </c>
      <c r="BS117" s="52">
        <v>51000</v>
      </c>
      <c r="BT117" s="62">
        <f t="shared" si="47"/>
        <v>11679.907500000001</v>
      </c>
      <c r="BU117" s="62">
        <v>95</v>
      </c>
      <c r="BV117" s="62">
        <v>33.25</v>
      </c>
      <c r="BY117" s="62">
        <v>95</v>
      </c>
      <c r="BZ117" s="62">
        <v>33.25</v>
      </c>
      <c r="CC117" s="62">
        <v>95</v>
      </c>
      <c r="CD117" s="62">
        <v>33.25</v>
      </c>
      <c r="CG117" s="62">
        <v>95</v>
      </c>
      <c r="CH117" s="62">
        <v>33.25</v>
      </c>
      <c r="CK117" s="62">
        <v>125</v>
      </c>
      <c r="CL117" s="62">
        <v>125</v>
      </c>
      <c r="CM117" s="62">
        <v>125</v>
      </c>
      <c r="CN117" s="62">
        <v>125</v>
      </c>
      <c r="CO117" s="62">
        <v>125</v>
      </c>
      <c r="CP117" s="62">
        <v>125</v>
      </c>
      <c r="CQ117" s="62">
        <v>125</v>
      </c>
      <c r="CR117" s="62">
        <v>125</v>
      </c>
      <c r="CS117" s="130">
        <v>100</v>
      </c>
      <c r="CT117" s="130">
        <v>50</v>
      </c>
      <c r="CU117" s="51" t="s">
        <v>175</v>
      </c>
      <c r="CW117" s="130">
        <v>95</v>
      </c>
      <c r="CX117" s="130">
        <v>55.100000000000001</v>
      </c>
      <c r="CY117" s="51" t="s">
        <v>175</v>
      </c>
      <c r="DA117" s="130">
        <v>242.80000000000001</v>
      </c>
      <c r="DB117" s="130">
        <v>53.200000000000003</v>
      </c>
      <c r="DC117" s="51" t="s">
        <v>175</v>
      </c>
      <c r="DE117" s="130">
        <v>484.80000000000001</v>
      </c>
      <c r="DF117" s="130">
        <v>53</v>
      </c>
      <c r="DG117" s="51" t="s">
        <v>175</v>
      </c>
      <c r="DI117" s="62">
        <v>140</v>
      </c>
      <c r="DJ117" s="62">
        <v>140</v>
      </c>
      <c r="DK117" s="62">
        <v>140</v>
      </c>
      <c r="DL117" s="62">
        <v>140</v>
      </c>
      <c r="DM117" s="62">
        <v>140</v>
      </c>
      <c r="DN117" s="62">
        <v>140</v>
      </c>
      <c r="DO117" s="62">
        <v>140</v>
      </c>
      <c r="DP117" s="62">
        <v>140</v>
      </c>
    </row>
    <row r="118" s="51" customFormat="1" ht="15.75" customHeight="1">
      <c r="A118" s="52">
        <v>3000000</v>
      </c>
      <c r="B118" s="53" t="s">
        <v>309</v>
      </c>
      <c r="C118" s="54" t="s">
        <v>310</v>
      </c>
      <c r="D118" s="52">
        <v>3350000</v>
      </c>
      <c r="E118" s="54" t="s">
        <v>369</v>
      </c>
      <c r="F118" s="55"/>
      <c r="G118" s="55"/>
      <c r="H118" s="55"/>
      <c r="I118" s="53"/>
      <c r="J118" s="53"/>
      <c r="L118" s="53" t="s">
        <v>374</v>
      </c>
      <c r="M118" s="54" t="s">
        <v>369</v>
      </c>
      <c r="N118" s="57"/>
      <c r="O118" s="57"/>
      <c r="T118" s="57"/>
      <c r="U118" s="51" t="s">
        <v>372</v>
      </c>
      <c r="W118" s="51" t="s">
        <v>315</v>
      </c>
      <c r="X118" s="57" t="s">
        <v>321</v>
      </c>
      <c r="AD118" s="51" t="s">
        <v>170</v>
      </c>
      <c r="AE118" s="51" t="s">
        <v>171</v>
      </c>
      <c r="AF118" s="51" t="s">
        <v>171</v>
      </c>
      <c r="AG118" s="57"/>
      <c r="AH118" s="57"/>
      <c r="AI118" s="57"/>
      <c r="AJ118" s="57"/>
      <c r="AK118" s="57"/>
      <c r="AM118" s="57" t="s">
        <v>173</v>
      </c>
      <c r="AN118" s="106" t="s">
        <v>174</v>
      </c>
      <c r="AO118" s="51">
        <v>500</v>
      </c>
      <c r="AP118" s="60">
        <v>100000</v>
      </c>
      <c r="AQ118" s="64">
        <v>18.899999999999999</v>
      </c>
      <c r="AR118" s="51" t="s">
        <v>147</v>
      </c>
      <c r="AS118" s="62">
        <f t="shared" si="36"/>
        <v>453.75</v>
      </c>
      <c r="AT118" s="62">
        <f t="shared" si="37"/>
        <v>194.8125</v>
      </c>
      <c r="AU118" s="63">
        <v>8</v>
      </c>
      <c r="AV118" s="63">
        <v>5</v>
      </c>
      <c r="AW118" s="64">
        <v>24</v>
      </c>
      <c r="AX118" s="62">
        <f t="shared" si="38"/>
        <v>429.75</v>
      </c>
      <c r="AY118" s="62">
        <f t="shared" si="39"/>
        <v>201.05250000000001</v>
      </c>
      <c r="AZ118" s="63">
        <v>8</v>
      </c>
      <c r="BA118" s="63">
        <v>5</v>
      </c>
      <c r="BB118" s="64">
        <v>15</v>
      </c>
      <c r="BC118" s="62">
        <f t="shared" si="40"/>
        <v>719.19000000000005</v>
      </c>
      <c r="BD118" s="62">
        <f t="shared" si="41"/>
        <v>197.21250000000001</v>
      </c>
      <c r="BE118" s="63">
        <v>9</v>
      </c>
      <c r="BF118" s="63">
        <v>6</v>
      </c>
      <c r="BG118" s="64">
        <v>13</v>
      </c>
      <c r="BH118" s="62">
        <f t="shared" si="42"/>
        <v>1370.55</v>
      </c>
      <c r="BI118" s="62">
        <f t="shared" si="43"/>
        <v>196.2525</v>
      </c>
      <c r="BJ118" s="63">
        <v>11</v>
      </c>
      <c r="BK118" s="63">
        <v>8</v>
      </c>
      <c r="BL118" s="64">
        <v>15</v>
      </c>
      <c r="BM118" s="52">
        <v>5000</v>
      </c>
      <c r="BN118" s="62">
        <f t="shared" si="44"/>
        <v>1427.8125</v>
      </c>
      <c r="BO118" s="52">
        <v>5100</v>
      </c>
      <c r="BP118" s="62">
        <f t="shared" si="45"/>
        <v>1455.1177499999999</v>
      </c>
      <c r="BQ118" s="52">
        <v>50000</v>
      </c>
      <c r="BR118" s="62">
        <f t="shared" si="46"/>
        <v>10579.815000000001</v>
      </c>
      <c r="BS118" s="52">
        <v>51000</v>
      </c>
      <c r="BT118" s="62">
        <f t="shared" si="47"/>
        <v>11379.4275</v>
      </c>
      <c r="BU118" s="62">
        <v>95</v>
      </c>
      <c r="BV118" s="62">
        <v>33.25</v>
      </c>
      <c r="BY118" s="62">
        <v>95</v>
      </c>
      <c r="BZ118" s="62">
        <v>33.25</v>
      </c>
      <c r="CC118" s="62">
        <v>95</v>
      </c>
      <c r="CD118" s="62">
        <v>33.25</v>
      </c>
      <c r="CG118" s="62">
        <v>95</v>
      </c>
      <c r="CH118" s="62">
        <v>33.25</v>
      </c>
      <c r="CK118" s="62">
        <v>125</v>
      </c>
      <c r="CL118" s="62">
        <v>125</v>
      </c>
      <c r="CM118" s="62">
        <v>125</v>
      </c>
      <c r="CN118" s="62">
        <v>125</v>
      </c>
      <c r="CO118" s="62">
        <v>125</v>
      </c>
      <c r="CP118" s="62">
        <v>125</v>
      </c>
      <c r="CQ118" s="62">
        <v>125</v>
      </c>
      <c r="CR118" s="62">
        <v>125</v>
      </c>
      <c r="CS118" s="130">
        <v>100</v>
      </c>
      <c r="CT118" s="130">
        <v>50</v>
      </c>
      <c r="CU118" s="51" t="s">
        <v>175</v>
      </c>
      <c r="CW118" s="130">
        <v>90</v>
      </c>
      <c r="CX118" s="130">
        <v>52.600000000000001</v>
      </c>
      <c r="CY118" s="51" t="s">
        <v>175</v>
      </c>
      <c r="DA118" s="130">
        <v>210.59999999999999</v>
      </c>
      <c r="DB118" s="130">
        <v>51</v>
      </c>
      <c r="DC118" s="51" t="s">
        <v>175</v>
      </c>
      <c r="DE118" s="130">
        <v>482</v>
      </c>
      <c r="DF118" s="130">
        <v>50.600000000000001</v>
      </c>
      <c r="DG118" s="51" t="s">
        <v>175</v>
      </c>
      <c r="DI118" s="62">
        <v>140</v>
      </c>
      <c r="DJ118" s="62">
        <v>140</v>
      </c>
      <c r="DK118" s="62">
        <v>140</v>
      </c>
      <c r="DL118" s="62">
        <v>140</v>
      </c>
      <c r="DM118" s="62">
        <v>140</v>
      </c>
      <c r="DN118" s="62">
        <v>140</v>
      </c>
      <c r="DO118" s="62">
        <v>140</v>
      </c>
      <c r="DP118" s="62">
        <v>140</v>
      </c>
    </row>
    <row r="119" s="51" customFormat="1" ht="15.75" customHeight="1">
      <c r="A119" s="52">
        <v>3000000</v>
      </c>
      <c r="B119" s="53" t="s">
        <v>309</v>
      </c>
      <c r="C119" s="54" t="s">
        <v>310</v>
      </c>
      <c r="D119" s="52">
        <v>3350000</v>
      </c>
      <c r="E119" s="54" t="s">
        <v>369</v>
      </c>
      <c r="F119" s="55"/>
      <c r="G119" s="55"/>
      <c r="H119" s="55"/>
      <c r="I119" s="53"/>
      <c r="J119" s="53"/>
      <c r="L119" s="53" t="s">
        <v>375</v>
      </c>
      <c r="M119" s="54" t="s">
        <v>369</v>
      </c>
      <c r="N119" s="57"/>
      <c r="O119" s="57"/>
      <c r="T119" s="57"/>
      <c r="U119" s="51" t="s">
        <v>372</v>
      </c>
      <c r="W119" s="51" t="s">
        <v>315</v>
      </c>
      <c r="X119" s="57" t="s">
        <v>321</v>
      </c>
      <c r="AD119" s="51" t="s">
        <v>170</v>
      </c>
      <c r="AE119" s="51" t="s">
        <v>171</v>
      </c>
      <c r="AF119" s="51" t="s">
        <v>171</v>
      </c>
      <c r="AG119" s="57"/>
      <c r="AH119" s="57"/>
      <c r="AI119" s="57"/>
      <c r="AJ119" s="57"/>
      <c r="AK119" s="57"/>
      <c r="AM119" s="57" t="s">
        <v>319</v>
      </c>
      <c r="AN119" s="106" t="s">
        <v>174</v>
      </c>
      <c r="AO119" s="51">
        <v>500</v>
      </c>
      <c r="AP119" s="60">
        <v>100000</v>
      </c>
      <c r="AQ119" s="64">
        <v>18.899999999999999</v>
      </c>
      <c r="AR119" s="51" t="s">
        <v>147</v>
      </c>
      <c r="AS119" s="62">
        <f t="shared" si="36"/>
        <v>477.75</v>
      </c>
      <c r="AT119" s="62">
        <f t="shared" si="37"/>
        <v>223.61250000000001</v>
      </c>
      <c r="AU119" s="63">
        <v>8</v>
      </c>
      <c r="AV119" s="63">
        <v>5</v>
      </c>
      <c r="AW119" s="64">
        <v>24</v>
      </c>
      <c r="AX119" s="62">
        <f t="shared" si="38"/>
        <v>477.75</v>
      </c>
      <c r="AY119" s="62">
        <f t="shared" si="39"/>
        <v>230.8125</v>
      </c>
      <c r="AZ119" s="63">
        <v>8</v>
      </c>
      <c r="BA119" s="63">
        <v>5</v>
      </c>
      <c r="BB119" s="64">
        <v>15</v>
      </c>
      <c r="BC119" s="62">
        <f t="shared" si="40"/>
        <v>843.75</v>
      </c>
      <c r="BD119" s="62">
        <f t="shared" si="41"/>
        <v>226.01249999999999</v>
      </c>
      <c r="BE119" s="63">
        <v>9</v>
      </c>
      <c r="BF119" s="63">
        <v>6</v>
      </c>
      <c r="BG119" s="64">
        <v>13</v>
      </c>
      <c r="BH119" s="62">
        <f t="shared" si="42"/>
        <v>1649.6700000000001</v>
      </c>
      <c r="BI119" s="62">
        <f t="shared" si="43"/>
        <v>225.05250000000001</v>
      </c>
      <c r="BJ119" s="63">
        <v>11</v>
      </c>
      <c r="BK119" s="63">
        <v>8</v>
      </c>
      <c r="BL119" s="64">
        <v>15</v>
      </c>
      <c r="BM119" s="52">
        <v>5000</v>
      </c>
      <c r="BN119" s="62">
        <f t="shared" si="44"/>
        <v>1595.8125</v>
      </c>
      <c r="BO119" s="52">
        <v>5100</v>
      </c>
      <c r="BP119" s="62">
        <f t="shared" si="45"/>
        <v>1654.89375</v>
      </c>
      <c r="BQ119" s="52">
        <v>50000</v>
      </c>
      <c r="BR119" s="62">
        <f t="shared" si="46"/>
        <v>12144.375</v>
      </c>
      <c r="BS119" s="52">
        <v>51000</v>
      </c>
      <c r="BT119" s="62">
        <f t="shared" si="47"/>
        <v>13127.3475</v>
      </c>
      <c r="BU119" s="62">
        <v>95</v>
      </c>
      <c r="BV119" s="62">
        <v>33.25</v>
      </c>
      <c r="BY119" s="62">
        <v>95</v>
      </c>
      <c r="BZ119" s="62">
        <v>33.25</v>
      </c>
      <c r="CC119" s="62">
        <v>95</v>
      </c>
      <c r="CD119" s="62">
        <v>33.25</v>
      </c>
      <c r="CG119" s="62">
        <v>95</v>
      </c>
      <c r="CH119" s="62">
        <v>33.25</v>
      </c>
      <c r="CK119" s="62">
        <v>125</v>
      </c>
      <c r="CL119" s="62">
        <v>125</v>
      </c>
      <c r="CM119" s="62">
        <v>125</v>
      </c>
      <c r="CN119" s="62">
        <v>125</v>
      </c>
      <c r="CO119" s="62">
        <v>125</v>
      </c>
      <c r="CP119" s="62">
        <v>125</v>
      </c>
      <c r="CQ119" s="62">
        <v>125</v>
      </c>
      <c r="CR119" s="62">
        <v>125</v>
      </c>
      <c r="CS119" s="130">
        <v>110</v>
      </c>
      <c r="CT119" s="130">
        <v>62</v>
      </c>
      <c r="CU119" s="51" t="s">
        <v>175</v>
      </c>
      <c r="CW119" s="130">
        <v>110</v>
      </c>
      <c r="CX119" s="130">
        <v>65</v>
      </c>
      <c r="CY119" s="51" t="s">
        <v>175</v>
      </c>
      <c r="DA119" s="130">
        <v>262.5</v>
      </c>
      <c r="DB119" s="130">
        <v>63</v>
      </c>
      <c r="DC119" s="51" t="s">
        <v>175</v>
      </c>
      <c r="DE119" s="130">
        <v>598.29999999999995</v>
      </c>
      <c r="DF119" s="130">
        <v>62.600000000000001</v>
      </c>
      <c r="DG119" s="51" t="s">
        <v>175</v>
      </c>
      <c r="DI119" s="62">
        <v>140</v>
      </c>
      <c r="DJ119" s="62">
        <v>140</v>
      </c>
      <c r="DK119" s="62">
        <v>140</v>
      </c>
      <c r="DL119" s="62">
        <v>140</v>
      </c>
      <c r="DM119" s="62">
        <v>140</v>
      </c>
      <c r="DN119" s="62">
        <v>140</v>
      </c>
      <c r="DO119" s="62">
        <v>140</v>
      </c>
      <c r="DP119" s="62">
        <v>140</v>
      </c>
    </row>
    <row r="120" s="51" customFormat="1" ht="15.75" customHeight="1">
      <c r="A120" s="52">
        <v>3000000</v>
      </c>
      <c r="B120" s="53" t="s">
        <v>309</v>
      </c>
      <c r="C120" s="54" t="s">
        <v>310</v>
      </c>
      <c r="D120" s="52">
        <v>3350000</v>
      </c>
      <c r="E120" s="54" t="s">
        <v>369</v>
      </c>
      <c r="F120" s="55"/>
      <c r="G120" s="55"/>
      <c r="H120" s="55"/>
      <c r="I120" s="53"/>
      <c r="J120" s="53"/>
      <c r="L120" s="53" t="s">
        <v>376</v>
      </c>
      <c r="M120" s="54" t="s">
        <v>369</v>
      </c>
      <c r="N120" s="57"/>
      <c r="O120" s="57"/>
      <c r="T120" s="57"/>
      <c r="U120" s="51" t="s">
        <v>372</v>
      </c>
      <c r="W120" s="51" t="s">
        <v>315</v>
      </c>
      <c r="X120" s="57" t="s">
        <v>324</v>
      </c>
      <c r="AD120" s="51" t="s">
        <v>170</v>
      </c>
      <c r="AE120" s="51" t="s">
        <v>171</v>
      </c>
      <c r="AF120" s="51" t="s">
        <v>171</v>
      </c>
      <c r="AG120" s="57"/>
      <c r="AH120" s="57"/>
      <c r="AI120" s="57"/>
      <c r="AJ120" s="57"/>
      <c r="AK120" s="57"/>
      <c r="AM120" s="57" t="s">
        <v>173</v>
      </c>
      <c r="AN120" s="106" t="s">
        <v>174</v>
      </c>
      <c r="AO120" s="51">
        <v>500</v>
      </c>
      <c r="AP120" s="60">
        <v>100000</v>
      </c>
      <c r="AQ120" s="64">
        <v>18.899999999999999</v>
      </c>
      <c r="AR120" s="51" t="s">
        <v>147</v>
      </c>
      <c r="AS120" s="62">
        <f t="shared" si="36"/>
        <v>369.75</v>
      </c>
      <c r="AT120" s="62">
        <f t="shared" si="37"/>
        <v>174.41249999999999</v>
      </c>
      <c r="AU120" s="63">
        <v>8</v>
      </c>
      <c r="AV120" s="63">
        <v>5</v>
      </c>
      <c r="AW120" s="64">
        <v>24</v>
      </c>
      <c r="AX120" s="62">
        <f t="shared" si="38"/>
        <v>429.75</v>
      </c>
      <c r="AY120" s="62">
        <f t="shared" si="39"/>
        <v>169.61250000000001</v>
      </c>
      <c r="AZ120" s="63">
        <v>8</v>
      </c>
      <c r="BA120" s="63">
        <v>5</v>
      </c>
      <c r="BB120" s="64">
        <v>15</v>
      </c>
      <c r="BC120" s="62">
        <f t="shared" si="40"/>
        <v>660.3900000000001</v>
      </c>
      <c r="BD120" s="62">
        <f t="shared" si="41"/>
        <v>166.49250000000001</v>
      </c>
      <c r="BE120" s="63">
        <v>9</v>
      </c>
      <c r="BF120" s="63">
        <v>6</v>
      </c>
      <c r="BG120" s="64">
        <v>13</v>
      </c>
      <c r="BH120" s="62">
        <f t="shared" si="42"/>
        <v>1283.6700000000001</v>
      </c>
      <c r="BI120" s="62">
        <f t="shared" si="43"/>
        <v>141.5325</v>
      </c>
      <c r="BJ120" s="63">
        <v>11</v>
      </c>
      <c r="BK120" s="63">
        <v>8</v>
      </c>
      <c r="BL120" s="64">
        <v>15</v>
      </c>
      <c r="BM120" s="52">
        <v>5000</v>
      </c>
      <c r="BN120" s="62">
        <f t="shared" si="44"/>
        <v>1241.8125</v>
      </c>
      <c r="BO120" s="52">
        <v>5100</v>
      </c>
      <c r="BP120" s="62">
        <f t="shared" si="45"/>
        <v>1294.7737499999998</v>
      </c>
      <c r="BQ120" s="52">
        <v>50000</v>
      </c>
      <c r="BR120" s="62">
        <f t="shared" si="46"/>
        <v>8985.0149999999994</v>
      </c>
      <c r="BS120" s="52">
        <v>51000</v>
      </c>
      <c r="BT120" s="62">
        <f t="shared" si="47"/>
        <v>8501.8274999999994</v>
      </c>
      <c r="BU120" s="62">
        <v>95</v>
      </c>
      <c r="BV120" s="62">
        <v>33.25</v>
      </c>
      <c r="BY120" s="62">
        <v>95</v>
      </c>
      <c r="BZ120" s="62">
        <v>33.25</v>
      </c>
      <c r="CC120" s="62">
        <v>95</v>
      </c>
      <c r="CD120" s="62">
        <v>33.25</v>
      </c>
      <c r="CG120" s="62">
        <v>95</v>
      </c>
      <c r="CH120" s="62">
        <v>33.25</v>
      </c>
      <c r="CK120" s="62">
        <v>125</v>
      </c>
      <c r="CL120" s="62">
        <v>125</v>
      </c>
      <c r="CM120" s="62">
        <v>125</v>
      </c>
      <c r="CN120" s="62">
        <v>125</v>
      </c>
      <c r="CO120" s="62">
        <v>125</v>
      </c>
      <c r="CP120" s="62">
        <v>125</v>
      </c>
      <c r="CQ120" s="62">
        <v>125</v>
      </c>
      <c r="CR120" s="62">
        <v>125</v>
      </c>
      <c r="CS120" s="130">
        <v>65</v>
      </c>
      <c r="CT120" s="130">
        <v>41.5</v>
      </c>
      <c r="CU120" s="51" t="s">
        <v>175</v>
      </c>
      <c r="CW120" s="130">
        <v>90</v>
      </c>
      <c r="CX120" s="130">
        <v>39.5</v>
      </c>
      <c r="CY120" s="51" t="s">
        <v>175</v>
      </c>
      <c r="DA120" s="130">
        <v>186.09999999999999</v>
      </c>
      <c r="DB120" s="130">
        <v>38.200000000000003</v>
      </c>
      <c r="DC120" s="51" t="s">
        <v>175</v>
      </c>
      <c r="DE120" s="130">
        <v>445.80000000000001</v>
      </c>
      <c r="DF120" s="130">
        <v>27.800000000000001</v>
      </c>
      <c r="DG120" s="51" t="s">
        <v>175</v>
      </c>
      <c r="DI120" s="62">
        <v>140</v>
      </c>
      <c r="DJ120" s="62">
        <v>140</v>
      </c>
      <c r="DK120" s="62">
        <v>140</v>
      </c>
      <c r="DL120" s="62">
        <v>140</v>
      </c>
      <c r="DM120" s="62">
        <v>140</v>
      </c>
      <c r="DN120" s="62">
        <v>140</v>
      </c>
      <c r="DO120" s="62">
        <v>140</v>
      </c>
      <c r="DP120" s="62">
        <v>140</v>
      </c>
    </row>
    <row r="121" s="51" customFormat="1" ht="15.75" customHeight="1">
      <c r="A121" s="52">
        <v>3000000</v>
      </c>
      <c r="B121" s="53" t="s">
        <v>309</v>
      </c>
      <c r="C121" s="54" t="s">
        <v>310</v>
      </c>
      <c r="D121" s="52">
        <v>3350000</v>
      </c>
      <c r="E121" s="54" t="s">
        <v>369</v>
      </c>
      <c r="F121" s="55"/>
      <c r="G121" s="55"/>
      <c r="H121" s="55"/>
      <c r="I121" s="53"/>
      <c r="J121" s="53"/>
      <c r="L121" s="53" t="s">
        <v>377</v>
      </c>
      <c r="M121" s="54" t="s">
        <v>369</v>
      </c>
      <c r="N121" s="57"/>
      <c r="O121" s="57"/>
      <c r="T121" s="57"/>
      <c r="U121" s="51" t="s">
        <v>372</v>
      </c>
      <c r="W121" s="51" t="s">
        <v>315</v>
      </c>
      <c r="X121" s="57" t="s">
        <v>324</v>
      </c>
      <c r="AD121" s="51" t="s">
        <v>170</v>
      </c>
      <c r="AE121" s="51" t="s">
        <v>171</v>
      </c>
      <c r="AF121" s="51" t="s">
        <v>171</v>
      </c>
      <c r="AG121" s="57"/>
      <c r="AH121" s="57"/>
      <c r="AI121" s="57"/>
      <c r="AJ121" s="57"/>
      <c r="AK121" s="57"/>
      <c r="AM121" s="57" t="s">
        <v>319</v>
      </c>
      <c r="AN121" s="106" t="s">
        <v>174</v>
      </c>
      <c r="AO121" s="51">
        <v>500</v>
      </c>
      <c r="AP121" s="60">
        <v>100000</v>
      </c>
      <c r="AQ121" s="64">
        <v>18.899999999999999</v>
      </c>
      <c r="AR121" s="51" t="s">
        <v>147</v>
      </c>
      <c r="AS121" s="62">
        <f t="shared" si="36"/>
        <v>429.75</v>
      </c>
      <c r="AT121" s="62">
        <f t="shared" si="37"/>
        <v>180.41249999999999</v>
      </c>
      <c r="AU121" s="63">
        <v>8</v>
      </c>
      <c r="AV121" s="63">
        <v>5</v>
      </c>
      <c r="AW121" s="64">
        <v>24</v>
      </c>
      <c r="AX121" s="62">
        <f t="shared" si="38"/>
        <v>441.75</v>
      </c>
      <c r="AY121" s="62">
        <f t="shared" si="39"/>
        <v>182.57249999999999</v>
      </c>
      <c r="AZ121" s="63">
        <v>8</v>
      </c>
      <c r="BA121" s="63">
        <v>5</v>
      </c>
      <c r="BB121" s="64">
        <v>15</v>
      </c>
      <c r="BC121" s="62">
        <f t="shared" si="40"/>
        <v>721.1099999999999</v>
      </c>
      <c r="BD121" s="62">
        <f t="shared" si="41"/>
        <v>178.9725</v>
      </c>
      <c r="BE121" s="63">
        <v>9</v>
      </c>
      <c r="BF121" s="63">
        <v>6</v>
      </c>
      <c r="BG121" s="64">
        <v>13</v>
      </c>
      <c r="BH121" s="62">
        <f t="shared" si="42"/>
        <v>1407.51</v>
      </c>
      <c r="BI121" s="62">
        <f t="shared" si="43"/>
        <v>177.5325</v>
      </c>
      <c r="BJ121" s="63">
        <v>11</v>
      </c>
      <c r="BK121" s="63">
        <v>8</v>
      </c>
      <c r="BL121" s="64">
        <v>15</v>
      </c>
      <c r="BM121" s="52">
        <v>5000</v>
      </c>
      <c r="BN121" s="62">
        <f t="shared" si="44"/>
        <v>1331.8125</v>
      </c>
      <c r="BO121" s="52">
        <v>5100</v>
      </c>
      <c r="BP121" s="62">
        <f t="shared" si="45"/>
        <v>1372.8697499999998</v>
      </c>
      <c r="BQ121" s="52">
        <v>50000</v>
      </c>
      <c r="BR121" s="62">
        <f t="shared" si="46"/>
        <v>9669.7350000000006</v>
      </c>
      <c r="BS121" s="52">
        <v>51000</v>
      </c>
      <c r="BT121" s="62">
        <f t="shared" si="47"/>
        <v>10461.6675</v>
      </c>
      <c r="BU121" s="62">
        <v>95</v>
      </c>
      <c r="BV121" s="62">
        <v>33.25</v>
      </c>
      <c r="BY121" s="62">
        <v>95</v>
      </c>
      <c r="BZ121" s="62">
        <v>33.25</v>
      </c>
      <c r="CC121" s="62">
        <v>95</v>
      </c>
      <c r="CD121" s="62">
        <v>33.25</v>
      </c>
      <c r="CG121" s="62">
        <v>95</v>
      </c>
      <c r="CH121" s="62">
        <v>33.25</v>
      </c>
      <c r="CK121" s="62">
        <v>125</v>
      </c>
      <c r="CL121" s="62">
        <v>125</v>
      </c>
      <c r="CM121" s="62">
        <v>125</v>
      </c>
      <c r="CN121" s="62">
        <v>125</v>
      </c>
      <c r="CO121" s="62">
        <v>125</v>
      </c>
      <c r="CP121" s="62">
        <v>125</v>
      </c>
      <c r="CQ121" s="62">
        <v>125</v>
      </c>
      <c r="CR121" s="62">
        <v>125</v>
      </c>
      <c r="CS121" s="130">
        <v>90</v>
      </c>
      <c r="CT121" s="130">
        <v>44</v>
      </c>
      <c r="CU121" s="51" t="s">
        <v>175</v>
      </c>
      <c r="CW121" s="130">
        <v>95</v>
      </c>
      <c r="CX121" s="130">
        <v>44.899999999999999</v>
      </c>
      <c r="CY121" s="51" t="s">
        <v>175</v>
      </c>
      <c r="DA121" s="130">
        <v>211.40000000000001</v>
      </c>
      <c r="DB121" s="130">
        <v>43.399999999999999</v>
      </c>
      <c r="DC121" s="51" t="s">
        <v>175</v>
      </c>
      <c r="DE121" s="130">
        <v>497.39999999999998</v>
      </c>
      <c r="DF121" s="130">
        <v>42.799999999999997</v>
      </c>
      <c r="DG121" s="51" t="s">
        <v>175</v>
      </c>
      <c r="DI121" s="62">
        <v>140</v>
      </c>
      <c r="DJ121" s="62">
        <v>140</v>
      </c>
      <c r="DK121" s="62">
        <v>140</v>
      </c>
      <c r="DL121" s="62">
        <v>140</v>
      </c>
      <c r="DM121" s="62">
        <v>140</v>
      </c>
      <c r="DN121" s="62">
        <v>140</v>
      </c>
      <c r="DO121" s="62">
        <v>140</v>
      </c>
      <c r="DP121" s="62">
        <v>140</v>
      </c>
    </row>
    <row r="122" s="51" customFormat="1" ht="15.75" customHeight="1">
      <c r="A122" s="52">
        <v>3000000</v>
      </c>
      <c r="B122" s="53" t="s">
        <v>309</v>
      </c>
      <c r="C122" s="54" t="s">
        <v>310</v>
      </c>
      <c r="D122" s="52">
        <v>3350000</v>
      </c>
      <c r="E122" s="54" t="s">
        <v>369</v>
      </c>
      <c r="F122" s="55"/>
      <c r="G122" s="55"/>
      <c r="H122" s="55"/>
      <c r="I122" s="53"/>
      <c r="J122" s="53"/>
      <c r="L122" s="53" t="s">
        <v>378</v>
      </c>
      <c r="M122" s="54" t="s">
        <v>369</v>
      </c>
      <c r="N122" s="57"/>
      <c r="O122" s="57"/>
      <c r="T122" s="57"/>
      <c r="U122" s="51" t="s">
        <v>372</v>
      </c>
      <c r="W122" s="51" t="s">
        <v>315</v>
      </c>
      <c r="X122" s="57" t="s">
        <v>327</v>
      </c>
      <c r="AD122" s="51" t="s">
        <v>170</v>
      </c>
      <c r="AE122" s="51" t="s">
        <v>171</v>
      </c>
      <c r="AF122" s="51" t="s">
        <v>171</v>
      </c>
      <c r="AG122" s="57"/>
      <c r="AH122" s="57"/>
      <c r="AI122" s="57"/>
      <c r="AJ122" s="57"/>
      <c r="AK122" s="57"/>
      <c r="AM122" s="57" t="s">
        <v>173</v>
      </c>
      <c r="AN122" s="106" t="s">
        <v>174</v>
      </c>
      <c r="AO122" s="51">
        <v>500</v>
      </c>
      <c r="AP122" s="60">
        <v>100000</v>
      </c>
      <c r="AQ122" s="64">
        <v>22</v>
      </c>
      <c r="AR122" s="51" t="s">
        <v>147</v>
      </c>
      <c r="AS122" s="62">
        <f t="shared" si="36"/>
        <v>453.75</v>
      </c>
      <c r="AT122" s="62">
        <f t="shared" si="37"/>
        <v>170.8125</v>
      </c>
      <c r="AU122" s="63">
        <v>8</v>
      </c>
      <c r="AV122" s="63">
        <v>5</v>
      </c>
      <c r="AW122" s="64">
        <v>24</v>
      </c>
      <c r="AX122" s="62">
        <f t="shared" si="38"/>
        <v>417.75</v>
      </c>
      <c r="AY122" s="62">
        <f t="shared" si="39"/>
        <v>188.8125</v>
      </c>
      <c r="AZ122" s="63">
        <v>8</v>
      </c>
      <c r="BA122" s="63">
        <v>5</v>
      </c>
      <c r="BB122" s="64">
        <v>15</v>
      </c>
      <c r="BC122" s="62">
        <f t="shared" si="40"/>
        <v>669.50999999999999</v>
      </c>
      <c r="BD122" s="62">
        <f t="shared" si="41"/>
        <v>184.2525</v>
      </c>
      <c r="BE122" s="63">
        <v>9</v>
      </c>
      <c r="BF122" s="63">
        <v>6</v>
      </c>
      <c r="BG122" s="64">
        <v>13</v>
      </c>
      <c r="BH122" s="62">
        <f t="shared" si="42"/>
        <v>1259.9099999999999</v>
      </c>
      <c r="BI122" s="62">
        <f t="shared" si="43"/>
        <v>183.77250000000001</v>
      </c>
      <c r="BJ122" s="63">
        <v>11</v>
      </c>
      <c r="BK122" s="63">
        <v>8</v>
      </c>
      <c r="BL122" s="64">
        <v>15</v>
      </c>
      <c r="BM122" s="52">
        <v>5000</v>
      </c>
      <c r="BN122" s="62">
        <f t="shared" si="44"/>
        <v>1307.8125</v>
      </c>
      <c r="BO122" s="52">
        <v>5100</v>
      </c>
      <c r="BP122" s="62">
        <f t="shared" si="45"/>
        <v>1380.6937499999999</v>
      </c>
      <c r="BQ122" s="52">
        <v>50000</v>
      </c>
      <c r="BR122" s="62">
        <f t="shared" si="46"/>
        <v>9882.1350000000002</v>
      </c>
      <c r="BS122" s="52">
        <v>51000</v>
      </c>
      <c r="BT122" s="62">
        <f t="shared" si="47"/>
        <v>10632.307499999999</v>
      </c>
      <c r="BU122" s="62">
        <v>95</v>
      </c>
      <c r="BV122" s="62">
        <v>33.25</v>
      </c>
      <c r="BY122" s="62">
        <v>95</v>
      </c>
      <c r="BZ122" s="62">
        <v>33.25</v>
      </c>
      <c r="CC122" s="62">
        <v>95</v>
      </c>
      <c r="CD122" s="62">
        <v>33.25</v>
      </c>
      <c r="CG122" s="62">
        <v>95</v>
      </c>
      <c r="CH122" s="62">
        <v>33.25</v>
      </c>
      <c r="CK122" s="62">
        <v>125</v>
      </c>
      <c r="CL122" s="62">
        <v>125</v>
      </c>
      <c r="CM122" s="62">
        <v>125</v>
      </c>
      <c r="CN122" s="62">
        <v>125</v>
      </c>
      <c r="CO122" s="62">
        <v>125</v>
      </c>
      <c r="CP122" s="62">
        <v>125</v>
      </c>
      <c r="CQ122" s="62">
        <v>125</v>
      </c>
      <c r="CR122" s="62">
        <v>125</v>
      </c>
      <c r="CS122" s="130">
        <v>100</v>
      </c>
      <c r="CT122" s="130">
        <v>40</v>
      </c>
      <c r="CU122" s="51" t="s">
        <v>175</v>
      </c>
      <c r="CW122" s="130">
        <v>85</v>
      </c>
      <c r="CX122" s="130">
        <v>47.5</v>
      </c>
      <c r="CY122" s="51" t="s">
        <v>175</v>
      </c>
      <c r="DA122" s="130">
        <v>189.90000000000001</v>
      </c>
      <c r="DB122" s="130">
        <v>45.600000000000001</v>
      </c>
      <c r="DC122" s="51" t="s">
        <v>175</v>
      </c>
      <c r="DE122" s="130">
        <v>435.89999999999998</v>
      </c>
      <c r="DF122" s="130">
        <v>45.399999999999999</v>
      </c>
      <c r="DG122" s="51" t="s">
        <v>175</v>
      </c>
      <c r="DI122" s="62">
        <v>140</v>
      </c>
      <c r="DJ122" s="62">
        <v>140</v>
      </c>
      <c r="DK122" s="62">
        <v>140</v>
      </c>
      <c r="DL122" s="62">
        <v>140</v>
      </c>
      <c r="DM122" s="62">
        <v>140</v>
      </c>
      <c r="DN122" s="62">
        <v>140</v>
      </c>
      <c r="DO122" s="62">
        <v>140</v>
      </c>
      <c r="DP122" s="62">
        <v>140</v>
      </c>
    </row>
    <row r="123" s="51" customFormat="1" ht="15.75" customHeight="1">
      <c r="A123" s="52">
        <v>3000000</v>
      </c>
      <c r="B123" s="53" t="s">
        <v>309</v>
      </c>
      <c r="C123" s="54" t="s">
        <v>310</v>
      </c>
      <c r="D123" s="52">
        <v>3350000</v>
      </c>
      <c r="E123" s="54" t="s">
        <v>369</v>
      </c>
      <c r="F123" s="55"/>
      <c r="G123" s="55"/>
      <c r="H123" s="55"/>
      <c r="I123" s="53"/>
      <c r="J123" s="53"/>
      <c r="L123" s="53" t="s">
        <v>379</v>
      </c>
      <c r="M123" s="54" t="s">
        <v>369</v>
      </c>
      <c r="N123" s="57"/>
      <c r="O123" s="57"/>
      <c r="T123" s="57"/>
      <c r="U123" s="51" t="s">
        <v>372</v>
      </c>
      <c r="W123" s="51" t="s">
        <v>315</v>
      </c>
      <c r="X123" s="57" t="s">
        <v>327</v>
      </c>
      <c r="AD123" s="51" t="s">
        <v>170</v>
      </c>
      <c r="AE123" s="51" t="s">
        <v>171</v>
      </c>
      <c r="AF123" s="51" t="s">
        <v>171</v>
      </c>
      <c r="AG123" s="57"/>
      <c r="AH123" s="57"/>
      <c r="AI123" s="57"/>
      <c r="AJ123" s="57"/>
      <c r="AK123" s="57"/>
      <c r="AM123" s="57" t="s">
        <v>319</v>
      </c>
      <c r="AN123" s="106" t="s">
        <v>174</v>
      </c>
      <c r="AO123" s="51">
        <v>500</v>
      </c>
      <c r="AP123" s="60">
        <v>100000</v>
      </c>
      <c r="AQ123" s="64">
        <v>22</v>
      </c>
      <c r="AR123" s="51" t="s">
        <v>147</v>
      </c>
      <c r="AS123" s="62">
        <f t="shared" si="36"/>
        <v>405.75</v>
      </c>
      <c r="AT123" s="62">
        <f t="shared" si="37"/>
        <v>199.13249999999999</v>
      </c>
      <c r="AU123" s="63">
        <v>8</v>
      </c>
      <c r="AV123" s="63">
        <v>5</v>
      </c>
      <c r="AW123" s="64">
        <v>24</v>
      </c>
      <c r="AX123" s="62">
        <f t="shared" si="38"/>
        <v>417.75</v>
      </c>
      <c r="AY123" s="62">
        <f t="shared" si="39"/>
        <v>192.17250000000001</v>
      </c>
      <c r="AZ123" s="63">
        <v>8</v>
      </c>
      <c r="BA123" s="63">
        <v>5</v>
      </c>
      <c r="BB123" s="64">
        <v>15</v>
      </c>
      <c r="BC123" s="62">
        <f t="shared" si="40"/>
        <v>684.14999999999998</v>
      </c>
      <c r="BD123" s="62">
        <f t="shared" si="41"/>
        <v>187.61250000000001</v>
      </c>
      <c r="BE123" s="63">
        <v>9</v>
      </c>
      <c r="BF123" s="63">
        <v>6</v>
      </c>
      <c r="BG123" s="64">
        <v>13</v>
      </c>
      <c r="BH123" s="62">
        <f t="shared" si="42"/>
        <v>1292.79</v>
      </c>
      <c r="BI123" s="62">
        <f t="shared" si="43"/>
        <v>187.13249999999999</v>
      </c>
      <c r="BJ123" s="63">
        <v>11</v>
      </c>
      <c r="BK123" s="63">
        <v>8</v>
      </c>
      <c r="BL123" s="64">
        <v>15</v>
      </c>
      <c r="BM123" s="52">
        <v>5000</v>
      </c>
      <c r="BN123" s="62">
        <f t="shared" si="44"/>
        <v>1401.4124999999999</v>
      </c>
      <c r="BO123" s="52">
        <v>5100</v>
      </c>
      <c r="BP123" s="62">
        <f t="shared" si="45"/>
        <v>1397.8297500000001</v>
      </c>
      <c r="BQ123" s="52">
        <v>50000</v>
      </c>
      <c r="BR123" s="62">
        <f t="shared" si="46"/>
        <v>10064.775</v>
      </c>
      <c r="BS123" s="52">
        <v>51000</v>
      </c>
      <c r="BT123" s="62">
        <f t="shared" si="47"/>
        <v>10836.547500000001</v>
      </c>
      <c r="BU123" s="62">
        <v>95</v>
      </c>
      <c r="BV123" s="62">
        <v>33.25</v>
      </c>
      <c r="BY123" s="62">
        <v>95</v>
      </c>
      <c r="BZ123" s="62">
        <v>33.25</v>
      </c>
      <c r="CC123" s="62">
        <v>95</v>
      </c>
      <c r="CD123" s="62">
        <v>33.25</v>
      </c>
      <c r="CG123" s="62">
        <v>95</v>
      </c>
      <c r="CH123" s="62">
        <v>33.25</v>
      </c>
      <c r="CK123" s="62">
        <v>125</v>
      </c>
      <c r="CL123" s="62">
        <v>125</v>
      </c>
      <c r="CM123" s="62">
        <v>125</v>
      </c>
      <c r="CN123" s="62">
        <v>125</v>
      </c>
      <c r="CO123" s="62">
        <v>125</v>
      </c>
      <c r="CP123" s="62">
        <v>125</v>
      </c>
      <c r="CQ123" s="62">
        <v>125</v>
      </c>
      <c r="CR123" s="62">
        <v>125</v>
      </c>
      <c r="CS123" s="130">
        <v>80</v>
      </c>
      <c r="CT123" s="130">
        <v>51.799999999999997</v>
      </c>
      <c r="CU123" s="51" t="s">
        <v>175</v>
      </c>
      <c r="CW123" s="130">
        <v>85</v>
      </c>
      <c r="CX123" s="130">
        <v>48.899999999999999</v>
      </c>
      <c r="CY123" s="51" t="s">
        <v>175</v>
      </c>
      <c r="DA123" s="130">
        <v>196</v>
      </c>
      <c r="DB123" s="130">
        <v>47</v>
      </c>
      <c r="DC123" s="51" t="s">
        <v>175</v>
      </c>
      <c r="DE123" s="130">
        <v>449.60000000000002</v>
      </c>
      <c r="DF123" s="130">
        <v>46.799999999999997</v>
      </c>
      <c r="DG123" s="51" t="s">
        <v>175</v>
      </c>
      <c r="DI123" s="62">
        <v>140</v>
      </c>
      <c r="DJ123" s="62">
        <v>140</v>
      </c>
      <c r="DK123" s="62">
        <v>140</v>
      </c>
      <c r="DL123" s="62">
        <v>140</v>
      </c>
      <c r="DM123" s="62">
        <v>140</v>
      </c>
      <c r="DN123" s="62">
        <v>140</v>
      </c>
      <c r="DO123" s="62">
        <v>140</v>
      </c>
      <c r="DP123" s="62">
        <v>140</v>
      </c>
    </row>
    <row r="124" s="76" customFormat="1" ht="109.2">
      <c r="A124" s="71">
        <v>3000000</v>
      </c>
      <c r="B124" s="72" t="s">
        <v>309</v>
      </c>
      <c r="C124" s="73" t="s">
        <v>310</v>
      </c>
      <c r="D124" s="71">
        <v>3900000</v>
      </c>
      <c r="E124" s="108" t="s">
        <v>380</v>
      </c>
      <c r="F124" s="108" t="s">
        <v>381</v>
      </c>
      <c r="G124" s="74"/>
      <c r="H124" s="74"/>
      <c r="I124" s="72"/>
      <c r="J124" s="72"/>
      <c r="L124" s="72" t="s">
        <v>382</v>
      </c>
      <c r="M124" s="77" t="s">
        <v>383</v>
      </c>
      <c r="N124" s="77" t="s">
        <v>341</v>
      </c>
      <c r="O124" s="77"/>
      <c r="T124" s="77"/>
      <c r="U124" s="76" t="s">
        <v>212</v>
      </c>
      <c r="W124" s="76" t="s">
        <v>315</v>
      </c>
      <c r="X124" s="77" t="s">
        <v>321</v>
      </c>
      <c r="AD124" s="76" t="s">
        <v>170</v>
      </c>
      <c r="AE124" s="76" t="s">
        <v>171</v>
      </c>
      <c r="AF124" s="76" t="s">
        <v>171</v>
      </c>
      <c r="AG124" s="77"/>
      <c r="AH124" s="77"/>
      <c r="AI124" s="77"/>
      <c r="AJ124" s="77"/>
      <c r="AK124" s="77"/>
      <c r="AM124" s="77" t="s">
        <v>319</v>
      </c>
      <c r="AN124" s="99" t="s">
        <v>174</v>
      </c>
      <c r="AO124" s="76">
        <v>500</v>
      </c>
      <c r="AP124" s="82">
        <v>100000</v>
      </c>
      <c r="AQ124" s="86">
        <v>8.9000000000000004</v>
      </c>
      <c r="AR124" s="76" t="s">
        <v>317</v>
      </c>
      <c r="AS124" s="84">
        <f t="shared" si="36"/>
        <v>348</v>
      </c>
      <c r="AT124" s="84">
        <f t="shared" si="37"/>
        <v>167.4375</v>
      </c>
      <c r="AU124" s="85">
        <v>7</v>
      </c>
      <c r="AV124" s="85">
        <v>4</v>
      </c>
      <c r="AW124" s="86">
        <v>24</v>
      </c>
      <c r="AX124" s="84">
        <f t="shared" si="38"/>
        <v>372</v>
      </c>
      <c r="AY124" s="84">
        <f t="shared" si="39"/>
        <v>161.4375</v>
      </c>
      <c r="AZ124" s="85">
        <v>7</v>
      </c>
      <c r="BA124" s="85">
        <v>4</v>
      </c>
      <c r="BB124" s="86">
        <v>15</v>
      </c>
      <c r="BC124" s="84">
        <f t="shared" si="40"/>
        <v>584.39999999999998</v>
      </c>
      <c r="BD124" s="84">
        <f t="shared" si="41"/>
        <v>152.3175</v>
      </c>
      <c r="BE124" s="85">
        <v>8</v>
      </c>
      <c r="BF124" s="85">
        <v>5</v>
      </c>
      <c r="BG124" s="86">
        <v>13</v>
      </c>
      <c r="BH124" s="84">
        <f t="shared" si="42"/>
        <v>1110.96</v>
      </c>
      <c r="BI124" s="84">
        <f t="shared" si="43"/>
        <v>151.35749999999999</v>
      </c>
      <c r="BJ124" s="85">
        <v>10</v>
      </c>
      <c r="BK124" s="85">
        <v>7</v>
      </c>
      <c r="BL124" s="86">
        <v>15</v>
      </c>
      <c r="BM124" s="71">
        <v>5000</v>
      </c>
      <c r="BN124" s="84">
        <f t="shared" si="44"/>
        <v>1185.1875</v>
      </c>
      <c r="BO124" s="71">
        <v>5100</v>
      </c>
      <c r="BP124" s="84">
        <f t="shared" si="45"/>
        <v>1195.33125</v>
      </c>
      <c r="BQ124" s="71">
        <v>50000</v>
      </c>
      <c r="BR124" s="84">
        <f t="shared" si="46"/>
        <v>8200.2749999999996</v>
      </c>
      <c r="BS124" s="71">
        <v>51000</v>
      </c>
      <c r="BT124" s="84">
        <f t="shared" si="47"/>
        <v>8830.1924999999992</v>
      </c>
      <c r="BU124" s="84">
        <v>80</v>
      </c>
      <c r="BV124" s="84">
        <v>23.75</v>
      </c>
      <c r="BY124" s="84">
        <v>80</v>
      </c>
      <c r="BZ124" s="84">
        <v>23.75</v>
      </c>
      <c r="CC124" s="84">
        <v>80</v>
      </c>
      <c r="CD124" s="84">
        <v>23.75</v>
      </c>
      <c r="CG124" s="84">
        <v>80</v>
      </c>
      <c r="CH124" s="84">
        <v>23.75</v>
      </c>
      <c r="CK124" s="84">
        <v>125</v>
      </c>
      <c r="CL124" s="84">
        <v>125</v>
      </c>
      <c r="CM124" s="84">
        <v>125</v>
      </c>
      <c r="CN124" s="84">
        <v>125</v>
      </c>
      <c r="CO124" s="84">
        <v>125</v>
      </c>
      <c r="CP124" s="84">
        <v>125</v>
      </c>
      <c r="CQ124" s="84">
        <v>125</v>
      </c>
      <c r="CR124" s="84">
        <v>125</v>
      </c>
      <c r="CS124" s="112">
        <v>70</v>
      </c>
      <c r="CT124" s="112">
        <v>47.5</v>
      </c>
      <c r="CU124" s="76" t="s">
        <v>175</v>
      </c>
      <c r="CW124" s="112">
        <v>80</v>
      </c>
      <c r="CX124" s="112">
        <v>45</v>
      </c>
      <c r="CY124" s="76" t="s">
        <v>175</v>
      </c>
      <c r="DA124" s="112">
        <v>168.5</v>
      </c>
      <c r="DB124" s="112">
        <v>41.200000000000003</v>
      </c>
      <c r="DC124" s="76" t="s">
        <v>175</v>
      </c>
      <c r="DE124" s="112">
        <v>387.89999999999998</v>
      </c>
      <c r="DF124" s="112">
        <v>40.799999999999997</v>
      </c>
      <c r="DG124" s="76" t="s">
        <v>175</v>
      </c>
      <c r="DI124" s="84">
        <v>140</v>
      </c>
      <c r="DJ124" s="84">
        <v>140</v>
      </c>
      <c r="DK124" s="84">
        <v>140</v>
      </c>
      <c r="DL124" s="84">
        <v>140</v>
      </c>
      <c r="DM124" s="84">
        <v>140</v>
      </c>
      <c r="DN124" s="84">
        <v>140</v>
      </c>
      <c r="DO124" s="84">
        <v>140</v>
      </c>
      <c r="DP124" s="84">
        <v>140</v>
      </c>
    </row>
    <row r="125" s="1" customFormat="1">
      <c r="B125" s="2"/>
      <c r="C125" s="2"/>
      <c r="E125" s="2"/>
      <c r="F125" s="3"/>
      <c r="G125" s="3"/>
      <c r="H125" s="3"/>
      <c r="I125" s="2"/>
      <c r="J125" s="2"/>
      <c r="M125" s="4"/>
      <c r="N125" s="4"/>
      <c r="O125" s="4"/>
      <c r="T125" s="4"/>
      <c r="X125" s="4"/>
      <c r="AG125" s="4"/>
      <c r="AH125" s="4"/>
      <c r="AI125" s="4"/>
      <c r="AJ125" s="4"/>
      <c r="AK125" s="4"/>
      <c r="AN125" s="7"/>
      <c r="AU125" s="8"/>
      <c r="AV125" s="8"/>
      <c r="AW125" s="9"/>
      <c r="AZ125" s="8"/>
      <c r="BA125" s="8"/>
      <c r="BB125" s="9"/>
      <c r="BE125" s="8"/>
      <c r="BF125" s="8"/>
      <c r="BG125" s="9"/>
      <c r="BJ125" s="8"/>
      <c r="BK125" s="8"/>
      <c r="BL125" s="9"/>
    </row>
    <row r="126" s="1" customFormat="1">
      <c r="B126" s="2"/>
      <c r="C126" s="2"/>
      <c r="E126" s="2"/>
      <c r="F126" s="3"/>
      <c r="G126" s="3"/>
      <c r="H126" s="3"/>
      <c r="I126" s="2"/>
      <c r="J126" s="2"/>
      <c r="M126" s="4"/>
      <c r="N126" s="4"/>
      <c r="O126" s="4"/>
      <c r="T126" s="4"/>
      <c r="X126" s="4"/>
      <c r="AG126" s="4"/>
      <c r="AH126" s="4"/>
      <c r="AI126" s="4"/>
      <c r="AJ126" s="4"/>
      <c r="AK126" s="4"/>
      <c r="AN126" s="7"/>
      <c r="AU126" s="8"/>
      <c r="AV126" s="8"/>
      <c r="AW126" s="9"/>
      <c r="AZ126" s="8"/>
      <c r="BA126" s="8"/>
      <c r="BB126" s="9"/>
      <c r="BE126" s="8"/>
      <c r="BF126" s="8"/>
      <c r="BG126" s="9"/>
      <c r="BJ126" s="8"/>
      <c r="BK126" s="8"/>
      <c r="BL126" s="9"/>
    </row>
    <row r="127" s="1" customFormat="1">
      <c r="B127" s="2"/>
      <c r="C127" s="2"/>
      <c r="E127" s="2"/>
      <c r="F127" s="3"/>
      <c r="G127" s="3"/>
      <c r="H127" s="3"/>
      <c r="I127" s="2"/>
      <c r="J127" s="2"/>
      <c r="M127" s="4"/>
      <c r="N127" s="4"/>
      <c r="O127" s="4"/>
      <c r="T127" s="4"/>
      <c r="X127" s="4"/>
      <c r="AG127" s="4"/>
      <c r="AH127" s="4"/>
      <c r="AI127" s="4"/>
      <c r="AJ127" s="4"/>
      <c r="AK127" s="4"/>
      <c r="AN127" s="7"/>
      <c r="AU127" s="8"/>
      <c r="AV127" s="8"/>
      <c r="AW127" s="9"/>
      <c r="AZ127" s="8"/>
      <c r="BA127" s="8"/>
      <c r="BB127" s="9"/>
      <c r="BE127" s="8"/>
      <c r="BF127" s="8"/>
      <c r="BG127" s="9"/>
      <c r="BJ127" s="8"/>
      <c r="BK127" s="8"/>
      <c r="BL127" s="9"/>
    </row>
    <row r="128" s="1" customFormat="1">
      <c r="B128" s="2"/>
      <c r="C128" s="2"/>
      <c r="E128" s="2"/>
      <c r="F128" s="3"/>
      <c r="G128" s="3"/>
      <c r="H128" s="3"/>
      <c r="I128" s="2"/>
      <c r="J128" s="2"/>
      <c r="M128" s="4"/>
      <c r="N128" s="4"/>
      <c r="O128" s="4"/>
      <c r="T128" s="4"/>
      <c r="X128" s="4"/>
      <c r="AG128" s="4"/>
      <c r="AH128" s="4"/>
      <c r="AI128" s="4"/>
      <c r="AJ128" s="4"/>
      <c r="AK128" s="4"/>
      <c r="AN128" s="7"/>
      <c r="AU128" s="8"/>
      <c r="AV128" s="8"/>
      <c r="AW128" s="9"/>
      <c r="AZ128" s="8"/>
      <c r="BA128" s="8"/>
      <c r="BB128" s="9"/>
      <c r="BE128" s="8"/>
      <c r="BF128" s="8"/>
      <c r="BG128" s="9"/>
      <c r="BJ128" s="8"/>
      <c r="BK128" s="8"/>
      <c r="BL128" s="9"/>
    </row>
    <row r="129" s="1" customFormat="1">
      <c r="B129" s="2"/>
      <c r="C129" s="2"/>
      <c r="E129" s="2"/>
      <c r="F129" s="3"/>
      <c r="G129" s="3"/>
      <c r="H129" s="3"/>
      <c r="I129" s="2"/>
      <c r="J129" s="2"/>
      <c r="M129" s="4"/>
      <c r="N129" s="4"/>
      <c r="O129" s="4"/>
      <c r="T129" s="4"/>
      <c r="X129" s="4"/>
      <c r="AG129" s="4"/>
      <c r="AH129" s="4"/>
      <c r="AI129" s="4"/>
      <c r="AJ129" s="4"/>
      <c r="AK129" s="4"/>
      <c r="AN129" s="7"/>
      <c r="AU129" s="8"/>
      <c r="AV129" s="8"/>
      <c r="AW129" s="9"/>
      <c r="AZ129" s="8"/>
      <c r="BA129" s="8"/>
      <c r="BB129" s="9"/>
      <c r="BE129" s="8"/>
      <c r="BF129" s="8"/>
      <c r="BG129" s="9"/>
      <c r="BJ129" s="8"/>
      <c r="BK129" s="8"/>
      <c r="BL129" s="9"/>
    </row>
    <row r="130" s="1" customFormat="1">
      <c r="B130" s="2"/>
      <c r="C130" s="2"/>
      <c r="E130" s="2"/>
      <c r="F130" s="3"/>
      <c r="G130" s="3"/>
      <c r="H130" s="3"/>
      <c r="I130" s="2"/>
      <c r="J130" s="2"/>
      <c r="M130" s="4"/>
      <c r="N130" s="4"/>
      <c r="O130" s="4"/>
      <c r="T130" s="4"/>
      <c r="X130" s="4"/>
      <c r="AG130" s="4"/>
      <c r="AH130" s="4"/>
      <c r="AI130" s="4"/>
      <c r="AJ130" s="4"/>
      <c r="AK130" s="4"/>
      <c r="AN130" s="7"/>
      <c r="AU130" s="8"/>
      <c r="AV130" s="8"/>
      <c r="AW130" s="9"/>
      <c r="AZ130" s="8"/>
      <c r="BA130" s="8"/>
      <c r="BB130" s="9"/>
      <c r="BE130" s="8"/>
      <c r="BF130" s="8"/>
      <c r="BG130" s="9"/>
      <c r="BJ130" s="8"/>
      <c r="BK130" s="8"/>
      <c r="BL130" s="9"/>
    </row>
    <row r="131" s="1" customFormat="1">
      <c r="B131" s="2"/>
      <c r="C131" s="2"/>
      <c r="E131" s="2"/>
      <c r="F131" s="3"/>
      <c r="G131" s="3"/>
      <c r="H131" s="3"/>
      <c r="I131" s="2"/>
      <c r="J131" s="2"/>
      <c r="M131" s="4"/>
      <c r="N131" s="4"/>
      <c r="O131" s="4"/>
      <c r="T131" s="4"/>
      <c r="X131" s="4"/>
      <c r="AG131" s="4"/>
      <c r="AH131" s="4"/>
      <c r="AI131" s="4"/>
      <c r="AJ131" s="4"/>
      <c r="AK131" s="4"/>
      <c r="AN131" s="7"/>
      <c r="AU131" s="8"/>
      <c r="AV131" s="8"/>
      <c r="AW131" s="9"/>
      <c r="AZ131" s="8"/>
      <c r="BA131" s="8"/>
      <c r="BB131" s="9"/>
      <c r="BE131" s="8"/>
      <c r="BF131" s="8"/>
      <c r="BG131" s="9"/>
      <c r="BJ131" s="8"/>
      <c r="BK131" s="8"/>
      <c r="BL131" s="9"/>
    </row>
    <row r="132" s="1" customFormat="1">
      <c r="B132" s="2"/>
      <c r="C132" s="2"/>
      <c r="E132" s="2"/>
      <c r="F132" s="3"/>
      <c r="G132" s="3"/>
      <c r="H132" s="3"/>
      <c r="I132" s="2"/>
      <c r="J132" s="2"/>
      <c r="M132" s="4"/>
      <c r="N132" s="4"/>
      <c r="O132" s="4"/>
      <c r="T132" s="4"/>
      <c r="X132" s="4"/>
      <c r="AG132" s="4"/>
      <c r="AH132" s="4"/>
      <c r="AI132" s="4"/>
      <c r="AJ132" s="4"/>
      <c r="AK132" s="4"/>
      <c r="AN132" s="7"/>
      <c r="AU132" s="8"/>
      <c r="AV132" s="8"/>
      <c r="AW132" s="9"/>
      <c r="AZ132" s="8"/>
      <c r="BA132" s="8"/>
      <c r="BB132" s="9"/>
      <c r="BE132" s="8"/>
      <c r="BF132" s="8"/>
      <c r="BG132" s="9"/>
      <c r="BJ132" s="8"/>
      <c r="BK132" s="8"/>
      <c r="BL132" s="9"/>
    </row>
    <row r="133" s="1" customFormat="1">
      <c r="B133" s="2"/>
      <c r="C133" s="2"/>
      <c r="E133" s="2"/>
      <c r="F133" s="3"/>
      <c r="G133" s="3"/>
      <c r="H133" s="3"/>
      <c r="I133" s="2"/>
      <c r="J133" s="2"/>
      <c r="M133" s="4"/>
      <c r="N133" s="4"/>
      <c r="O133" s="4"/>
      <c r="T133" s="4"/>
      <c r="X133" s="4"/>
      <c r="AG133" s="4"/>
      <c r="AH133" s="4"/>
      <c r="AI133" s="4"/>
      <c r="AJ133" s="4"/>
      <c r="AK133" s="4"/>
      <c r="AN133" s="7"/>
      <c r="AU133" s="8"/>
      <c r="AV133" s="8"/>
      <c r="AW133" s="9"/>
      <c r="AZ133" s="8"/>
      <c r="BA133" s="8"/>
      <c r="BB133" s="9"/>
      <c r="BE133" s="8"/>
      <c r="BF133" s="8"/>
      <c r="BG133" s="9"/>
      <c r="BJ133" s="8"/>
      <c r="BK133" s="8"/>
      <c r="BL133" s="9"/>
    </row>
    <row r="134" s="1" customFormat="1">
      <c r="B134" s="2"/>
      <c r="C134" s="2"/>
      <c r="E134" s="2"/>
      <c r="F134" s="3"/>
      <c r="G134" s="3"/>
      <c r="H134" s="3"/>
      <c r="I134" s="2"/>
      <c r="J134" s="2"/>
      <c r="M134" s="4"/>
      <c r="N134" s="4"/>
      <c r="O134" s="4"/>
      <c r="T134" s="4"/>
      <c r="X134" s="4"/>
      <c r="AG134" s="4"/>
      <c r="AH134" s="4"/>
      <c r="AI134" s="4"/>
      <c r="AJ134" s="4"/>
      <c r="AK134" s="4"/>
      <c r="AN134" s="7"/>
      <c r="AU134" s="8"/>
      <c r="AV134" s="8"/>
      <c r="AW134" s="9"/>
      <c r="AZ134" s="8"/>
      <c r="BA134" s="8"/>
      <c r="BB134" s="9"/>
      <c r="BE134" s="8"/>
      <c r="BF134" s="8"/>
      <c r="BG134" s="9"/>
      <c r="BJ134" s="8"/>
      <c r="BK134" s="8"/>
      <c r="BL134" s="9"/>
    </row>
    <row r="135" s="1" customFormat="1">
      <c r="B135" s="2"/>
      <c r="C135" s="2"/>
      <c r="E135" s="2"/>
      <c r="F135" s="3"/>
      <c r="G135" s="3"/>
      <c r="H135" s="3"/>
      <c r="I135" s="2"/>
      <c r="J135" s="2"/>
      <c r="M135" s="4"/>
      <c r="N135" s="4"/>
      <c r="O135" s="4"/>
      <c r="T135" s="4"/>
      <c r="X135" s="4"/>
      <c r="AG135" s="4"/>
      <c r="AH135" s="4"/>
      <c r="AI135" s="4"/>
      <c r="AJ135" s="4"/>
      <c r="AK135" s="4"/>
      <c r="AN135" s="7"/>
      <c r="AU135" s="8"/>
      <c r="AV135" s="8"/>
      <c r="AW135" s="9"/>
      <c r="AZ135" s="8"/>
      <c r="BA135" s="8"/>
      <c r="BB135" s="9"/>
      <c r="BE135" s="8"/>
      <c r="BF135" s="8"/>
      <c r="BG135" s="9"/>
      <c r="BJ135" s="8"/>
      <c r="BK135" s="8"/>
      <c r="BL135" s="9"/>
    </row>
    <row r="136" s="1" customFormat="1">
      <c r="B136" s="2"/>
      <c r="C136" s="2"/>
      <c r="E136" s="2"/>
      <c r="F136" s="3"/>
      <c r="G136" s="3"/>
      <c r="H136" s="3"/>
      <c r="I136" s="2"/>
      <c r="J136" s="2"/>
      <c r="M136" s="4"/>
      <c r="N136" s="4"/>
      <c r="O136" s="4"/>
      <c r="T136" s="4"/>
      <c r="X136" s="4"/>
      <c r="AG136" s="4"/>
      <c r="AH136" s="4"/>
      <c r="AI136" s="4"/>
      <c r="AJ136" s="4"/>
      <c r="AK136" s="4"/>
      <c r="AN136" s="7"/>
      <c r="AU136" s="8"/>
      <c r="AV136" s="8"/>
      <c r="AW136" s="9"/>
      <c r="AZ136" s="8"/>
      <c r="BA136" s="8"/>
      <c r="BB136" s="9"/>
      <c r="BE136" s="8"/>
      <c r="BF136" s="8"/>
      <c r="BG136" s="9"/>
      <c r="BJ136" s="8"/>
      <c r="BK136" s="8"/>
      <c r="BL136" s="9"/>
    </row>
    <row r="137" s="1" customFormat="1">
      <c r="B137" s="2"/>
      <c r="C137" s="2"/>
      <c r="E137" s="2"/>
      <c r="F137" s="3"/>
      <c r="G137" s="3"/>
      <c r="H137" s="3"/>
      <c r="I137" s="2"/>
      <c r="J137" s="2"/>
      <c r="M137" s="4"/>
      <c r="N137" s="4"/>
      <c r="O137" s="4"/>
      <c r="T137" s="4"/>
      <c r="X137" s="4"/>
      <c r="AG137" s="4"/>
      <c r="AH137" s="4"/>
      <c r="AI137" s="4"/>
      <c r="AJ137" s="4"/>
      <c r="AK137" s="4"/>
      <c r="AN137" s="7"/>
      <c r="AU137" s="8"/>
      <c r="AV137" s="8"/>
      <c r="AW137" s="9"/>
      <c r="AZ137" s="8"/>
      <c r="BA137" s="8"/>
      <c r="BB137" s="9"/>
      <c r="BE137" s="8"/>
      <c r="BF137" s="8"/>
      <c r="BG137" s="9"/>
      <c r="BJ137" s="8"/>
      <c r="BK137" s="8"/>
      <c r="BL137" s="9"/>
    </row>
    <row r="138" s="1" customFormat="1">
      <c r="B138" s="2"/>
      <c r="C138" s="2"/>
      <c r="E138" s="2"/>
      <c r="F138" s="3"/>
      <c r="G138" s="3"/>
      <c r="H138" s="3"/>
      <c r="I138" s="2"/>
      <c r="J138" s="2"/>
      <c r="M138" s="4"/>
      <c r="N138" s="4"/>
      <c r="O138" s="4"/>
      <c r="T138" s="4"/>
      <c r="X138" s="4"/>
      <c r="AG138" s="4"/>
      <c r="AH138" s="4"/>
      <c r="AI138" s="4"/>
      <c r="AJ138" s="4"/>
      <c r="AK138" s="4"/>
      <c r="AN138" s="7"/>
      <c r="AU138" s="8"/>
      <c r="AV138" s="8"/>
      <c r="AW138" s="9"/>
      <c r="AZ138" s="8"/>
      <c r="BA138" s="8"/>
      <c r="BB138" s="9"/>
      <c r="BE138" s="8"/>
      <c r="BF138" s="8"/>
      <c r="BG138" s="9"/>
      <c r="BJ138" s="8"/>
      <c r="BK138" s="8"/>
      <c r="BL138" s="9"/>
    </row>
    <row r="139" s="1" customFormat="1">
      <c r="B139" s="2"/>
      <c r="C139" s="2"/>
      <c r="E139" s="2"/>
      <c r="F139" s="3"/>
      <c r="G139" s="3"/>
      <c r="H139" s="3"/>
      <c r="I139" s="2"/>
      <c r="J139" s="2"/>
      <c r="M139" s="4"/>
      <c r="N139" s="4"/>
      <c r="O139" s="4"/>
      <c r="T139" s="4"/>
      <c r="X139" s="4"/>
      <c r="AG139" s="4"/>
      <c r="AH139" s="4"/>
      <c r="AI139" s="4"/>
      <c r="AJ139" s="4"/>
      <c r="AK139" s="4"/>
      <c r="AN139" s="7"/>
      <c r="AU139" s="8"/>
      <c r="AV139" s="8"/>
      <c r="AW139" s="9"/>
      <c r="AZ139" s="8"/>
      <c r="BA139" s="8"/>
      <c r="BB139" s="9"/>
      <c r="BE139" s="8"/>
      <c r="BF139" s="8"/>
      <c r="BG139" s="9"/>
      <c r="BJ139" s="8"/>
      <c r="BK139" s="8"/>
      <c r="BL139" s="9"/>
    </row>
    <row r="140" s="1" customFormat="1">
      <c r="B140" s="2"/>
      <c r="C140" s="2"/>
      <c r="E140" s="2"/>
      <c r="F140" s="3"/>
      <c r="G140" s="3"/>
      <c r="H140" s="3"/>
      <c r="I140" s="2"/>
      <c r="J140" s="2"/>
      <c r="M140" s="4"/>
      <c r="N140" s="4"/>
      <c r="O140" s="4"/>
      <c r="T140" s="4"/>
      <c r="X140" s="4"/>
      <c r="AG140" s="4"/>
      <c r="AH140" s="4"/>
      <c r="AI140" s="4"/>
      <c r="AJ140" s="4"/>
      <c r="AK140" s="4"/>
      <c r="AN140" s="7"/>
      <c r="AU140" s="8"/>
      <c r="AV140" s="8"/>
      <c r="AW140" s="9"/>
      <c r="AZ140" s="8"/>
      <c r="BA140" s="8"/>
      <c r="BB140" s="9"/>
      <c r="BE140" s="8"/>
      <c r="BF140" s="8"/>
      <c r="BG140" s="9"/>
      <c r="BJ140" s="8"/>
      <c r="BK140" s="8"/>
      <c r="BL140" s="9"/>
    </row>
    <row r="141" s="1" customFormat="1">
      <c r="B141" s="2"/>
      <c r="C141" s="2"/>
      <c r="E141" s="2"/>
      <c r="F141" s="3"/>
      <c r="G141" s="3"/>
      <c r="H141" s="3"/>
      <c r="I141" s="2"/>
      <c r="J141" s="2"/>
      <c r="M141" s="4"/>
      <c r="N141" s="4"/>
      <c r="O141" s="4"/>
      <c r="T141" s="4"/>
      <c r="X141" s="4"/>
      <c r="AG141" s="4"/>
      <c r="AH141" s="4"/>
      <c r="AI141" s="4"/>
      <c r="AJ141" s="4"/>
      <c r="AK141" s="4"/>
      <c r="AN141" s="7"/>
      <c r="AU141" s="8"/>
      <c r="AV141" s="8"/>
      <c r="AW141" s="9"/>
      <c r="AZ141" s="8"/>
      <c r="BA141" s="8"/>
      <c r="BB141" s="9"/>
      <c r="BE141" s="8"/>
      <c r="BF141" s="8"/>
      <c r="BG141" s="9"/>
      <c r="BJ141" s="8"/>
      <c r="BK141" s="8"/>
      <c r="BL141" s="9"/>
    </row>
    <row r="142" s="1" customFormat="1">
      <c r="B142" s="2"/>
      <c r="C142" s="2"/>
      <c r="E142" s="2"/>
      <c r="F142" s="3"/>
      <c r="G142" s="3"/>
      <c r="H142" s="3"/>
      <c r="I142" s="2"/>
      <c r="J142" s="2"/>
      <c r="M142" s="4"/>
      <c r="N142" s="4"/>
      <c r="O142" s="4"/>
      <c r="T142" s="4"/>
      <c r="X142" s="4"/>
      <c r="AG142" s="4"/>
      <c r="AH142" s="4"/>
      <c r="AI142" s="4"/>
      <c r="AJ142" s="4"/>
      <c r="AK142" s="4"/>
      <c r="AN142" s="7"/>
      <c r="AU142" s="8"/>
      <c r="AV142" s="8"/>
      <c r="AW142" s="9"/>
      <c r="AZ142" s="8"/>
      <c r="BA142" s="8"/>
      <c r="BB142" s="9"/>
      <c r="BE142" s="8"/>
      <c r="BF142" s="8"/>
      <c r="BG142" s="9"/>
      <c r="BJ142" s="8"/>
      <c r="BK142" s="8"/>
      <c r="BL142" s="9"/>
    </row>
    <row r="143" s="1" customFormat="1">
      <c r="B143" s="2"/>
      <c r="C143" s="2"/>
      <c r="E143" s="2"/>
      <c r="F143" s="3"/>
      <c r="G143" s="3"/>
      <c r="H143" s="3"/>
      <c r="I143" s="2"/>
      <c r="J143" s="2"/>
      <c r="M143" s="4"/>
      <c r="N143" s="4"/>
      <c r="O143" s="4"/>
      <c r="T143" s="4"/>
      <c r="X143" s="4"/>
      <c r="AG143" s="4"/>
      <c r="AH143" s="4"/>
      <c r="AI143" s="4"/>
      <c r="AJ143" s="4"/>
      <c r="AK143" s="4"/>
      <c r="AN143" s="7"/>
      <c r="AU143" s="8"/>
      <c r="AV143" s="8"/>
      <c r="AW143" s="9"/>
      <c r="AZ143" s="8"/>
      <c r="BA143" s="8"/>
      <c r="BB143" s="9"/>
      <c r="BE143" s="8"/>
      <c r="BF143" s="8"/>
      <c r="BG143" s="9"/>
      <c r="BJ143" s="8"/>
      <c r="BK143" s="8"/>
      <c r="BL143" s="9"/>
    </row>
    <row r="144" s="1" customFormat="1">
      <c r="B144" s="2"/>
      <c r="C144" s="2"/>
      <c r="E144" s="2"/>
      <c r="F144" s="3"/>
      <c r="G144" s="3"/>
      <c r="H144" s="3"/>
      <c r="I144" s="2"/>
      <c r="J144" s="2"/>
      <c r="M144" s="4"/>
      <c r="N144" s="4"/>
      <c r="O144" s="4"/>
      <c r="T144" s="4"/>
      <c r="X144" s="4"/>
      <c r="AG144" s="4"/>
      <c r="AH144" s="4"/>
      <c r="AI144" s="4"/>
      <c r="AJ144" s="4"/>
      <c r="AK144" s="4"/>
      <c r="AN144" s="7"/>
      <c r="AU144" s="8"/>
      <c r="AV144" s="8"/>
      <c r="AW144" s="9"/>
      <c r="AZ144" s="8"/>
      <c r="BA144" s="8"/>
      <c r="BB144" s="9"/>
      <c r="BE144" s="8"/>
      <c r="BF144" s="8"/>
      <c r="BG144" s="9"/>
      <c r="BJ144" s="8"/>
      <c r="BK144" s="8"/>
      <c r="BL144" s="9"/>
    </row>
    <row r="145" s="1" customFormat="1">
      <c r="B145" s="2"/>
      <c r="C145" s="2"/>
      <c r="E145" s="2"/>
      <c r="F145" s="3"/>
      <c r="G145" s="3"/>
      <c r="H145" s="3"/>
      <c r="I145" s="2"/>
      <c r="J145" s="2"/>
      <c r="M145" s="4"/>
      <c r="N145" s="4"/>
      <c r="O145" s="4"/>
      <c r="T145" s="4"/>
      <c r="X145" s="4"/>
      <c r="AG145" s="4"/>
      <c r="AH145" s="4"/>
      <c r="AI145" s="4"/>
      <c r="AJ145" s="4"/>
      <c r="AK145" s="4"/>
      <c r="AN145" s="7"/>
      <c r="AU145" s="8"/>
      <c r="AV145" s="8"/>
      <c r="AW145" s="9"/>
      <c r="AZ145" s="8"/>
      <c r="BA145" s="8"/>
      <c r="BB145" s="9"/>
      <c r="BE145" s="8"/>
      <c r="BF145" s="8"/>
      <c r="BG145" s="9"/>
      <c r="BJ145" s="8"/>
      <c r="BK145" s="8"/>
      <c r="BL145" s="9"/>
    </row>
    <row r="146" s="1" customFormat="1">
      <c r="B146" s="2"/>
      <c r="C146" s="2"/>
      <c r="E146" s="2"/>
      <c r="F146" s="3"/>
      <c r="G146" s="3"/>
      <c r="H146" s="3"/>
      <c r="I146" s="2"/>
      <c r="J146" s="2"/>
      <c r="M146" s="4"/>
      <c r="N146" s="4"/>
      <c r="O146" s="4"/>
      <c r="T146" s="4"/>
      <c r="X146" s="4"/>
      <c r="AG146" s="4"/>
      <c r="AH146" s="4"/>
      <c r="AI146" s="4"/>
      <c r="AJ146" s="4"/>
      <c r="AK146" s="4"/>
      <c r="AN146" s="7"/>
      <c r="AU146" s="8"/>
      <c r="AV146" s="8"/>
      <c r="AW146" s="9"/>
      <c r="AZ146" s="8"/>
      <c r="BA146" s="8"/>
      <c r="BB146" s="9"/>
      <c r="BE146" s="8"/>
      <c r="BF146" s="8"/>
      <c r="BG146" s="9"/>
      <c r="BJ146" s="8"/>
      <c r="BK146" s="8"/>
      <c r="BL146" s="9"/>
    </row>
    <row r="147" s="1" customFormat="1">
      <c r="B147" s="2"/>
      <c r="C147" s="2"/>
      <c r="E147" s="2"/>
      <c r="F147" s="3"/>
      <c r="G147" s="3"/>
      <c r="H147" s="3"/>
      <c r="I147" s="2"/>
      <c r="J147" s="2"/>
      <c r="M147" s="4"/>
      <c r="N147" s="4"/>
      <c r="O147" s="4"/>
      <c r="T147" s="4"/>
      <c r="X147" s="4"/>
      <c r="AG147" s="4"/>
      <c r="AH147" s="4"/>
      <c r="AI147" s="4"/>
      <c r="AJ147" s="4"/>
      <c r="AK147" s="4"/>
      <c r="AN147" s="7"/>
      <c r="AU147" s="8"/>
      <c r="AV147" s="8"/>
      <c r="AW147" s="9"/>
      <c r="AZ147" s="8"/>
      <c r="BA147" s="8"/>
      <c r="BB147" s="9"/>
      <c r="BE147" s="8"/>
      <c r="BF147" s="8"/>
      <c r="BG147" s="9"/>
      <c r="BJ147" s="8"/>
      <c r="BK147" s="8"/>
      <c r="BL147" s="9"/>
    </row>
    <row r="148" s="1" customFormat="1">
      <c r="B148" s="2"/>
      <c r="C148" s="2"/>
      <c r="E148" s="2"/>
      <c r="F148" s="3"/>
      <c r="G148" s="3"/>
      <c r="H148" s="3"/>
      <c r="I148" s="2"/>
      <c r="J148" s="2"/>
      <c r="M148" s="4"/>
      <c r="N148" s="4"/>
      <c r="O148" s="4"/>
      <c r="T148" s="4"/>
      <c r="X148" s="4"/>
      <c r="AG148" s="4"/>
      <c r="AH148" s="4"/>
      <c r="AI148" s="4"/>
      <c r="AJ148" s="4"/>
      <c r="AK148" s="4"/>
      <c r="AN148" s="7"/>
      <c r="AU148" s="8"/>
      <c r="AV148" s="8"/>
      <c r="AW148" s="9"/>
      <c r="AZ148" s="8"/>
      <c r="BA148" s="8"/>
      <c r="BB148" s="9"/>
      <c r="BE148" s="8"/>
      <c r="BF148" s="8"/>
      <c r="BG148" s="9"/>
      <c r="BJ148" s="8"/>
      <c r="BK148" s="8"/>
      <c r="BL148" s="9"/>
    </row>
    <row r="149" s="1" customFormat="1">
      <c r="B149" s="2"/>
      <c r="C149" s="2"/>
      <c r="E149" s="2"/>
      <c r="F149" s="3"/>
      <c r="G149" s="3"/>
      <c r="H149" s="3"/>
      <c r="I149" s="2"/>
      <c r="J149" s="2"/>
      <c r="M149" s="4"/>
      <c r="N149" s="4"/>
      <c r="O149" s="4"/>
      <c r="T149" s="4"/>
      <c r="X149" s="4"/>
      <c r="AG149" s="4"/>
      <c r="AH149" s="4"/>
      <c r="AI149" s="4"/>
      <c r="AJ149" s="4"/>
      <c r="AK149" s="4"/>
      <c r="AN149" s="7"/>
      <c r="AU149" s="8"/>
      <c r="AV149" s="8"/>
      <c r="AW149" s="9"/>
      <c r="AZ149" s="8"/>
      <c r="BA149" s="8"/>
      <c r="BB149" s="9"/>
      <c r="BE149" s="8"/>
      <c r="BF149" s="8"/>
      <c r="BG149" s="9"/>
      <c r="BJ149" s="8"/>
      <c r="BK149" s="8"/>
      <c r="BL149" s="9"/>
    </row>
    <row r="150" s="1" customFormat="1">
      <c r="B150" s="2"/>
      <c r="C150" s="2"/>
      <c r="E150" s="2"/>
      <c r="F150" s="3"/>
      <c r="G150" s="3"/>
      <c r="H150" s="3"/>
      <c r="I150" s="2"/>
      <c r="J150" s="2"/>
      <c r="M150" s="4"/>
      <c r="N150" s="4"/>
      <c r="O150" s="4"/>
      <c r="T150" s="4"/>
      <c r="X150" s="4"/>
      <c r="AG150" s="4"/>
      <c r="AH150" s="4"/>
      <c r="AI150" s="4"/>
      <c r="AJ150" s="4"/>
      <c r="AK150" s="4"/>
      <c r="AN150" s="7"/>
      <c r="AU150" s="8"/>
      <c r="AV150" s="8"/>
      <c r="AW150" s="9"/>
      <c r="AZ150" s="8"/>
      <c r="BA150" s="8"/>
      <c r="BB150" s="9"/>
      <c r="BE150" s="8"/>
      <c r="BF150" s="8"/>
      <c r="BG150" s="9"/>
      <c r="BJ150" s="8"/>
      <c r="BK150" s="8"/>
      <c r="BL150" s="9"/>
    </row>
    <row r="151" s="1" customFormat="1">
      <c r="B151" s="2"/>
      <c r="C151" s="2"/>
      <c r="E151" s="2"/>
      <c r="F151" s="3"/>
      <c r="G151" s="3"/>
      <c r="H151" s="3"/>
      <c r="I151" s="2"/>
      <c r="J151" s="2"/>
      <c r="M151" s="4"/>
      <c r="N151" s="4"/>
      <c r="O151" s="4"/>
      <c r="T151" s="4"/>
      <c r="X151" s="4"/>
      <c r="AG151" s="4"/>
      <c r="AH151" s="4"/>
      <c r="AI151" s="4"/>
      <c r="AJ151" s="4"/>
      <c r="AK151" s="4"/>
      <c r="AN151" s="7"/>
      <c r="AU151" s="8"/>
      <c r="AV151" s="8"/>
      <c r="AW151" s="9"/>
      <c r="AZ151" s="8"/>
      <c r="BA151" s="8"/>
      <c r="BB151" s="9"/>
      <c r="BE151" s="8"/>
      <c r="BF151" s="8"/>
      <c r="BG151" s="9"/>
      <c r="BJ151" s="8"/>
      <c r="BK151" s="8"/>
      <c r="BL151" s="9"/>
    </row>
    <row r="152" s="1" customFormat="1">
      <c r="B152" s="2"/>
      <c r="C152" s="2"/>
      <c r="E152" s="2"/>
      <c r="F152" s="3"/>
      <c r="G152" s="3"/>
      <c r="H152" s="3"/>
      <c r="I152" s="2"/>
      <c r="J152" s="2"/>
      <c r="M152" s="4"/>
      <c r="N152" s="4"/>
      <c r="O152" s="4"/>
      <c r="T152" s="4"/>
      <c r="X152" s="4"/>
      <c r="AG152" s="4"/>
      <c r="AH152" s="4"/>
      <c r="AI152" s="4"/>
      <c r="AJ152" s="4"/>
      <c r="AK152" s="4"/>
      <c r="AN152" s="7"/>
      <c r="AU152" s="8"/>
      <c r="AV152" s="8"/>
      <c r="AW152" s="9"/>
      <c r="AZ152" s="8"/>
      <c r="BA152" s="8"/>
      <c r="BB152" s="9"/>
      <c r="BE152" s="8"/>
      <c r="BF152" s="8"/>
      <c r="BG152" s="9"/>
      <c r="BJ152" s="8"/>
      <c r="BK152" s="8"/>
      <c r="BL152" s="9"/>
    </row>
    <row r="153" s="1" customFormat="1">
      <c r="B153" s="2"/>
      <c r="C153" s="2"/>
      <c r="E153" s="2"/>
      <c r="F153" s="3"/>
      <c r="G153" s="3"/>
      <c r="H153" s="3"/>
      <c r="I153" s="2"/>
      <c r="J153" s="2"/>
      <c r="M153" s="4"/>
      <c r="N153" s="4"/>
      <c r="O153" s="4"/>
      <c r="T153" s="4"/>
      <c r="X153" s="4"/>
      <c r="AG153" s="4"/>
      <c r="AH153" s="4"/>
      <c r="AI153" s="4"/>
      <c r="AJ153" s="4"/>
      <c r="AK153" s="4"/>
      <c r="AN153" s="7"/>
      <c r="AU153" s="8"/>
      <c r="AV153" s="8"/>
      <c r="AW153" s="9"/>
      <c r="AZ153" s="8"/>
      <c r="BA153" s="8"/>
      <c r="BB153" s="9"/>
      <c r="BE153" s="8"/>
      <c r="BF153" s="8"/>
      <c r="BG153" s="9"/>
      <c r="BJ153" s="8"/>
      <c r="BK153" s="8"/>
      <c r="BL153" s="9"/>
    </row>
    <row r="154" s="1" customFormat="1">
      <c r="B154" s="2"/>
      <c r="C154" s="2"/>
      <c r="E154" s="2"/>
      <c r="F154" s="3"/>
      <c r="G154" s="3"/>
      <c r="H154" s="3"/>
      <c r="I154" s="2"/>
      <c r="J154" s="2"/>
      <c r="M154" s="4"/>
      <c r="N154" s="4"/>
      <c r="O154" s="4"/>
      <c r="T154" s="4"/>
      <c r="X154" s="4"/>
      <c r="AG154" s="4"/>
      <c r="AH154" s="4"/>
      <c r="AI154" s="4"/>
      <c r="AJ154" s="4"/>
      <c r="AK154" s="4"/>
      <c r="AN154" s="7"/>
      <c r="AU154" s="8"/>
      <c r="AV154" s="8"/>
      <c r="AW154" s="9"/>
      <c r="AZ154" s="8"/>
      <c r="BA154" s="8"/>
      <c r="BB154" s="9"/>
      <c r="BE154" s="8"/>
      <c r="BF154" s="8"/>
      <c r="BG154" s="9"/>
      <c r="BJ154" s="8"/>
      <c r="BK154" s="8"/>
      <c r="BL154" s="9"/>
    </row>
    <row r="155" s="1" customFormat="1">
      <c r="B155" s="2"/>
      <c r="C155" s="2"/>
      <c r="E155" s="2"/>
      <c r="F155" s="3"/>
      <c r="G155" s="3"/>
      <c r="H155" s="3"/>
      <c r="I155" s="2"/>
      <c r="J155" s="2"/>
      <c r="M155" s="4"/>
      <c r="N155" s="4"/>
      <c r="O155" s="4"/>
      <c r="T155" s="4"/>
      <c r="X155" s="4"/>
      <c r="AG155" s="4"/>
      <c r="AH155" s="4"/>
      <c r="AI155" s="4"/>
      <c r="AJ155" s="4"/>
      <c r="AK155" s="4"/>
      <c r="AN155" s="7"/>
      <c r="AU155" s="8"/>
      <c r="AV155" s="8"/>
      <c r="AW155" s="9"/>
      <c r="AZ155" s="8"/>
      <c r="BA155" s="8"/>
      <c r="BB155" s="9"/>
      <c r="BE155" s="8"/>
      <c r="BF155" s="8"/>
      <c r="BG155" s="9"/>
      <c r="BJ155" s="8"/>
      <c r="BK155" s="8"/>
      <c r="BL155" s="9"/>
    </row>
    <row r="156" s="1" customFormat="1">
      <c r="B156" s="2"/>
      <c r="C156" s="2"/>
      <c r="E156" s="2"/>
      <c r="F156" s="3"/>
      <c r="G156" s="3"/>
      <c r="H156" s="3"/>
      <c r="I156" s="2"/>
      <c r="J156" s="2"/>
      <c r="M156" s="4"/>
      <c r="N156" s="4"/>
      <c r="O156" s="4"/>
      <c r="T156" s="4"/>
      <c r="X156" s="4"/>
      <c r="AG156" s="4"/>
      <c r="AH156" s="4"/>
      <c r="AI156" s="4"/>
      <c r="AJ156" s="4"/>
      <c r="AK156" s="4"/>
      <c r="AN156" s="7"/>
      <c r="AU156" s="8"/>
      <c r="AV156" s="8"/>
      <c r="AW156" s="9"/>
      <c r="AZ156" s="8"/>
      <c r="BA156" s="8"/>
      <c r="BB156" s="9"/>
      <c r="BE156" s="8"/>
      <c r="BF156" s="8"/>
      <c r="BG156" s="9"/>
      <c r="BJ156" s="8"/>
      <c r="BK156" s="8"/>
      <c r="BL156" s="9"/>
    </row>
    <row r="157" s="1" customFormat="1">
      <c r="B157" s="2"/>
      <c r="C157" s="2"/>
      <c r="E157" s="2"/>
      <c r="F157" s="3"/>
      <c r="G157" s="3"/>
      <c r="H157" s="3"/>
      <c r="I157" s="2"/>
      <c r="J157" s="2"/>
      <c r="M157" s="4"/>
      <c r="N157" s="4"/>
      <c r="O157" s="4"/>
      <c r="T157" s="4"/>
      <c r="X157" s="4"/>
      <c r="AG157" s="4"/>
      <c r="AH157" s="4"/>
      <c r="AI157" s="4"/>
      <c r="AJ157" s="4"/>
      <c r="AK157" s="4"/>
      <c r="AN157" s="7"/>
      <c r="AU157" s="8"/>
      <c r="AV157" s="8"/>
      <c r="AW157" s="9"/>
      <c r="AZ157" s="8"/>
      <c r="BA157" s="8"/>
      <c r="BB157" s="9"/>
      <c r="BE157" s="8"/>
      <c r="BF157" s="8"/>
      <c r="BG157" s="9"/>
      <c r="BJ157" s="8"/>
      <c r="BK157" s="8"/>
      <c r="BL157" s="9"/>
    </row>
    <row r="158" s="1" customFormat="1">
      <c r="B158" s="2"/>
      <c r="C158" s="2"/>
      <c r="E158" s="2"/>
      <c r="F158" s="3"/>
      <c r="G158" s="3"/>
      <c r="H158" s="3"/>
      <c r="I158" s="2"/>
      <c r="J158" s="2"/>
      <c r="M158" s="4"/>
      <c r="N158" s="4"/>
      <c r="O158" s="4"/>
      <c r="T158" s="4"/>
      <c r="X158" s="4"/>
      <c r="AG158" s="4"/>
      <c r="AH158" s="4"/>
      <c r="AI158" s="4"/>
      <c r="AJ158" s="4"/>
      <c r="AK158" s="4"/>
      <c r="AN158" s="7"/>
      <c r="AU158" s="8"/>
      <c r="AV158" s="8"/>
      <c r="AW158" s="9"/>
      <c r="AZ158" s="8"/>
      <c r="BA158" s="8"/>
      <c r="BB158" s="9"/>
      <c r="BE158" s="8"/>
      <c r="BF158" s="8"/>
      <c r="BG158" s="9"/>
      <c r="BJ158" s="8"/>
      <c r="BK158" s="8"/>
      <c r="BL158" s="9"/>
    </row>
    <row r="159" s="1" customFormat="1">
      <c r="B159" s="2"/>
      <c r="C159" s="2"/>
      <c r="E159" s="2"/>
      <c r="F159" s="3"/>
      <c r="G159" s="3"/>
      <c r="H159" s="3"/>
      <c r="I159" s="2"/>
      <c r="J159" s="2"/>
      <c r="M159" s="4"/>
      <c r="N159" s="4"/>
      <c r="O159" s="4"/>
      <c r="T159" s="4"/>
      <c r="X159" s="4"/>
      <c r="AG159" s="4"/>
      <c r="AH159" s="4"/>
      <c r="AI159" s="4"/>
      <c r="AJ159" s="4"/>
      <c r="AK159" s="4"/>
      <c r="AN159" s="7"/>
      <c r="AU159" s="8"/>
      <c r="AV159" s="8"/>
      <c r="AW159" s="9"/>
      <c r="AZ159" s="8"/>
      <c r="BA159" s="8"/>
      <c r="BB159" s="9"/>
      <c r="BE159" s="8"/>
      <c r="BF159" s="8"/>
      <c r="BG159" s="9"/>
      <c r="BJ159" s="8"/>
      <c r="BK159" s="8"/>
      <c r="BL159" s="9"/>
    </row>
    <row r="160" s="1" customFormat="1">
      <c r="B160" s="2"/>
      <c r="C160" s="2"/>
      <c r="E160" s="2"/>
      <c r="F160" s="3"/>
      <c r="G160" s="3"/>
      <c r="H160" s="3"/>
      <c r="I160" s="2"/>
      <c r="J160" s="2"/>
      <c r="M160" s="4"/>
      <c r="N160" s="4"/>
      <c r="O160" s="4"/>
      <c r="T160" s="4"/>
      <c r="X160" s="4"/>
      <c r="AG160" s="4"/>
      <c r="AH160" s="4"/>
      <c r="AI160" s="4"/>
      <c r="AJ160" s="4"/>
      <c r="AK160" s="4"/>
      <c r="AN160" s="7"/>
      <c r="AU160" s="8"/>
      <c r="AV160" s="8"/>
      <c r="AW160" s="9"/>
      <c r="AZ160" s="8"/>
      <c r="BA160" s="8"/>
      <c r="BB160" s="9"/>
      <c r="BE160" s="8"/>
      <c r="BF160" s="8"/>
      <c r="BG160" s="9"/>
      <c r="BJ160" s="8"/>
      <c r="BK160" s="8"/>
      <c r="BL160" s="9"/>
    </row>
    <row r="161" s="1" customFormat="1">
      <c r="B161" s="2"/>
      <c r="C161" s="2"/>
      <c r="E161" s="2"/>
      <c r="F161" s="3"/>
      <c r="G161" s="3"/>
      <c r="H161" s="3"/>
      <c r="I161" s="2"/>
      <c r="J161" s="2"/>
      <c r="M161" s="4"/>
      <c r="N161" s="4"/>
      <c r="O161" s="4"/>
      <c r="T161" s="4"/>
      <c r="X161" s="4"/>
      <c r="AG161" s="4"/>
      <c r="AH161" s="4"/>
      <c r="AI161" s="4"/>
      <c r="AJ161" s="4"/>
      <c r="AK161" s="4"/>
      <c r="AN161" s="7"/>
      <c r="AU161" s="8"/>
      <c r="AV161" s="8"/>
      <c r="AW161" s="9"/>
      <c r="AZ161" s="8"/>
      <c r="BA161" s="8"/>
      <c r="BB161" s="9"/>
      <c r="BE161" s="8"/>
      <c r="BF161" s="8"/>
      <c r="BG161" s="9"/>
      <c r="BJ161" s="8"/>
      <c r="BK161" s="8"/>
      <c r="BL161" s="9"/>
    </row>
    <row r="162" s="1" customFormat="1">
      <c r="B162" s="2"/>
      <c r="C162" s="2"/>
      <c r="E162" s="2"/>
      <c r="F162" s="3"/>
      <c r="G162" s="3"/>
      <c r="H162" s="3"/>
      <c r="I162" s="2"/>
      <c r="J162" s="2"/>
      <c r="M162" s="4"/>
      <c r="N162" s="4"/>
      <c r="O162" s="4"/>
      <c r="T162" s="4"/>
      <c r="X162" s="4"/>
      <c r="AG162" s="4"/>
      <c r="AH162" s="4"/>
      <c r="AI162" s="4"/>
      <c r="AJ162" s="4"/>
      <c r="AK162" s="4"/>
      <c r="AN162" s="7"/>
      <c r="AU162" s="8"/>
      <c r="AV162" s="8"/>
      <c r="AW162" s="9"/>
      <c r="AZ162" s="8"/>
      <c r="BA162" s="8"/>
      <c r="BB162" s="9"/>
      <c r="BE162" s="8"/>
      <c r="BF162" s="8"/>
      <c r="BG162" s="9"/>
      <c r="BJ162" s="8"/>
      <c r="BK162" s="8"/>
      <c r="BL162" s="9"/>
    </row>
    <row r="163" s="1" customFormat="1">
      <c r="B163" s="2"/>
      <c r="C163" s="2"/>
      <c r="E163" s="2"/>
      <c r="F163" s="3"/>
      <c r="G163" s="3"/>
      <c r="H163" s="3"/>
      <c r="I163" s="2"/>
      <c r="J163" s="2"/>
      <c r="M163" s="4"/>
      <c r="N163" s="4"/>
      <c r="O163" s="4"/>
      <c r="T163" s="4"/>
      <c r="X163" s="4"/>
      <c r="AG163" s="4"/>
      <c r="AH163" s="4"/>
      <c r="AI163" s="4"/>
      <c r="AJ163" s="4"/>
      <c r="AK163" s="4"/>
      <c r="AN163" s="7"/>
      <c r="AU163" s="8"/>
      <c r="AV163" s="8"/>
      <c r="AW163" s="9"/>
      <c r="AZ163" s="8"/>
      <c r="BA163" s="8"/>
      <c r="BB163" s="9"/>
      <c r="BE163" s="8"/>
      <c r="BF163" s="8"/>
      <c r="BG163" s="9"/>
      <c r="BJ163" s="8"/>
      <c r="BK163" s="8"/>
      <c r="BL163" s="9"/>
    </row>
    <row r="164" s="1" customFormat="1">
      <c r="B164" s="2"/>
      <c r="C164" s="2"/>
      <c r="E164" s="2"/>
      <c r="F164" s="3"/>
      <c r="G164" s="3"/>
      <c r="H164" s="3"/>
      <c r="I164" s="2"/>
      <c r="J164" s="2"/>
      <c r="M164" s="4"/>
      <c r="N164" s="4"/>
      <c r="O164" s="4"/>
      <c r="T164" s="4"/>
      <c r="X164" s="4"/>
      <c r="AG164" s="4"/>
      <c r="AH164" s="4"/>
      <c r="AI164" s="4"/>
      <c r="AJ164" s="4"/>
      <c r="AK164" s="4"/>
      <c r="AN164" s="7"/>
      <c r="AU164" s="8"/>
      <c r="AV164" s="8"/>
      <c r="AW164" s="9"/>
      <c r="AZ164" s="8"/>
      <c r="BA164" s="8"/>
      <c r="BB164" s="9"/>
      <c r="BE164" s="8"/>
      <c r="BF164" s="8"/>
      <c r="BG164" s="9"/>
      <c r="BJ164" s="8"/>
      <c r="BK164" s="8"/>
      <c r="BL164" s="9"/>
    </row>
    <row r="165" s="1" customFormat="1">
      <c r="B165" s="2"/>
      <c r="C165" s="2"/>
      <c r="E165" s="2"/>
      <c r="F165" s="3"/>
      <c r="G165" s="3"/>
      <c r="H165" s="3"/>
      <c r="I165" s="2"/>
      <c r="J165" s="2"/>
      <c r="M165" s="4"/>
      <c r="N165" s="4"/>
      <c r="O165" s="4"/>
      <c r="T165" s="4"/>
      <c r="X165" s="4"/>
      <c r="AG165" s="4"/>
      <c r="AH165" s="4"/>
      <c r="AI165" s="4"/>
      <c r="AJ165" s="4"/>
      <c r="AK165" s="4"/>
      <c r="AN165" s="7"/>
      <c r="AU165" s="8"/>
      <c r="AV165" s="8"/>
      <c r="AW165" s="9"/>
      <c r="AZ165" s="8"/>
      <c r="BA165" s="8"/>
      <c r="BB165" s="9"/>
      <c r="BE165" s="8"/>
      <c r="BF165" s="8"/>
      <c r="BG165" s="9"/>
      <c r="BJ165" s="8"/>
      <c r="BK165" s="8"/>
      <c r="BL165" s="9"/>
    </row>
    <row r="166" s="1" customFormat="1">
      <c r="B166" s="2"/>
      <c r="C166" s="2"/>
      <c r="E166" s="2"/>
      <c r="F166" s="3"/>
      <c r="G166" s="3"/>
      <c r="H166" s="3"/>
      <c r="I166" s="2"/>
      <c r="J166" s="2"/>
      <c r="M166" s="4"/>
      <c r="N166" s="4"/>
      <c r="O166" s="4"/>
      <c r="T166" s="4"/>
      <c r="X166" s="4"/>
      <c r="AG166" s="4"/>
      <c r="AH166" s="4"/>
      <c r="AI166" s="4"/>
      <c r="AJ166" s="4"/>
      <c r="AK166" s="4"/>
      <c r="AN166" s="7"/>
      <c r="AU166" s="8"/>
      <c r="AV166" s="8"/>
      <c r="AW166" s="9"/>
      <c r="AZ166" s="8"/>
      <c r="BA166" s="8"/>
      <c r="BB166" s="9"/>
      <c r="BE166" s="8"/>
      <c r="BF166" s="8"/>
      <c r="BG166" s="9"/>
      <c r="BJ166" s="8"/>
      <c r="BK166" s="8"/>
      <c r="BL166" s="9"/>
    </row>
    <row r="167" s="1" customFormat="1">
      <c r="B167" s="2"/>
      <c r="C167" s="2"/>
      <c r="E167" s="2"/>
      <c r="F167" s="3"/>
      <c r="G167" s="3"/>
      <c r="H167" s="3"/>
      <c r="I167" s="2"/>
      <c r="J167" s="2"/>
      <c r="M167" s="4"/>
      <c r="N167" s="4"/>
      <c r="O167" s="4"/>
      <c r="T167" s="4"/>
      <c r="X167" s="4"/>
      <c r="AG167" s="4"/>
      <c r="AH167" s="4"/>
      <c r="AI167" s="4"/>
      <c r="AJ167" s="4"/>
      <c r="AK167" s="4"/>
      <c r="AN167" s="7"/>
      <c r="AU167" s="8"/>
      <c r="AV167" s="8"/>
      <c r="AW167" s="9"/>
      <c r="AZ167" s="8"/>
      <c r="BA167" s="8"/>
      <c r="BB167" s="9"/>
      <c r="BE167" s="8"/>
      <c r="BF167" s="8"/>
      <c r="BG167" s="9"/>
      <c r="BJ167" s="8"/>
      <c r="BK167" s="8"/>
      <c r="BL167" s="9"/>
    </row>
    <row r="168" s="1" customFormat="1">
      <c r="B168" s="2"/>
      <c r="C168" s="2"/>
      <c r="E168" s="2"/>
      <c r="F168" s="3"/>
      <c r="G168" s="3"/>
      <c r="H168" s="3"/>
      <c r="I168" s="2"/>
      <c r="J168" s="2"/>
      <c r="M168" s="4"/>
      <c r="N168" s="4"/>
      <c r="O168" s="4"/>
      <c r="T168" s="4"/>
      <c r="X168" s="4"/>
      <c r="AG168" s="4"/>
      <c r="AH168" s="4"/>
      <c r="AI168" s="4"/>
      <c r="AJ168" s="4"/>
      <c r="AK168" s="4"/>
      <c r="AN168" s="7"/>
      <c r="AU168" s="8"/>
      <c r="AV168" s="8"/>
      <c r="AW168" s="9"/>
      <c r="AZ168" s="8"/>
      <c r="BA168" s="8"/>
      <c r="BB168" s="9"/>
      <c r="BE168" s="8"/>
      <c r="BF168" s="8"/>
      <c r="BG168" s="9"/>
      <c r="BJ168" s="8"/>
      <c r="BK168" s="8"/>
      <c r="BL168" s="9"/>
    </row>
    <row r="169" s="1" customFormat="1">
      <c r="B169" s="2"/>
      <c r="C169" s="2"/>
      <c r="E169" s="2"/>
      <c r="F169" s="3"/>
      <c r="G169" s="3"/>
      <c r="H169" s="3"/>
      <c r="I169" s="2"/>
      <c r="J169" s="2"/>
      <c r="M169" s="4"/>
      <c r="N169" s="4"/>
      <c r="O169" s="4"/>
      <c r="T169" s="4"/>
      <c r="X169" s="4"/>
      <c r="AG169" s="4"/>
      <c r="AH169" s="4"/>
      <c r="AI169" s="4"/>
      <c r="AJ169" s="4"/>
      <c r="AK169" s="4"/>
      <c r="AN169" s="7"/>
      <c r="AU169" s="8"/>
      <c r="AV169" s="8"/>
      <c r="AW169" s="9"/>
      <c r="AZ169" s="8"/>
      <c r="BA169" s="8"/>
      <c r="BB169" s="9"/>
      <c r="BE169" s="8"/>
      <c r="BF169" s="8"/>
      <c r="BG169" s="9"/>
      <c r="BJ169" s="8"/>
      <c r="BK169" s="8"/>
      <c r="BL169" s="9"/>
    </row>
    <row r="170" s="1" customFormat="1">
      <c r="B170" s="2"/>
      <c r="C170" s="2"/>
      <c r="E170" s="2"/>
      <c r="F170" s="3"/>
      <c r="G170" s="3"/>
      <c r="H170" s="3"/>
      <c r="I170" s="2"/>
      <c r="J170" s="2"/>
      <c r="M170" s="4"/>
      <c r="N170" s="4"/>
      <c r="O170" s="4"/>
      <c r="T170" s="4"/>
      <c r="X170" s="4"/>
      <c r="AG170" s="4"/>
      <c r="AH170" s="4"/>
      <c r="AI170" s="4"/>
      <c r="AJ170" s="4"/>
      <c r="AK170" s="4"/>
      <c r="AN170" s="7"/>
      <c r="AU170" s="8"/>
      <c r="AV170" s="8"/>
      <c r="AW170" s="9"/>
      <c r="AZ170" s="8"/>
      <c r="BA170" s="8"/>
      <c r="BB170" s="9"/>
      <c r="BE170" s="8"/>
      <c r="BF170" s="8"/>
      <c r="BG170" s="9"/>
      <c r="BJ170" s="8"/>
      <c r="BK170" s="8"/>
      <c r="BL170" s="9"/>
    </row>
    <row r="171" s="1" customFormat="1">
      <c r="B171" s="2"/>
      <c r="C171" s="2"/>
      <c r="E171" s="2"/>
      <c r="F171" s="3"/>
      <c r="G171" s="3"/>
      <c r="H171" s="3"/>
      <c r="I171" s="2"/>
      <c r="J171" s="2"/>
      <c r="M171" s="4"/>
      <c r="N171" s="4"/>
      <c r="O171" s="4"/>
      <c r="T171" s="4"/>
      <c r="X171" s="4"/>
      <c r="AG171" s="4"/>
      <c r="AH171" s="4"/>
      <c r="AI171" s="4"/>
      <c r="AJ171" s="4"/>
      <c r="AK171" s="4"/>
      <c r="AN171" s="7"/>
      <c r="AU171" s="8"/>
      <c r="AV171" s="8"/>
      <c r="AW171" s="9"/>
      <c r="AZ171" s="8"/>
      <c r="BA171" s="8"/>
      <c r="BB171" s="9"/>
      <c r="BE171" s="8"/>
      <c r="BF171" s="8"/>
      <c r="BG171" s="9"/>
      <c r="BJ171" s="8"/>
      <c r="BK171" s="8"/>
      <c r="BL171" s="9"/>
    </row>
    <row r="172" s="1" customFormat="1">
      <c r="B172" s="2"/>
      <c r="C172" s="2"/>
      <c r="E172" s="2"/>
      <c r="F172" s="3"/>
      <c r="G172" s="3"/>
      <c r="H172" s="3"/>
      <c r="I172" s="2"/>
      <c r="J172" s="2"/>
      <c r="M172" s="4"/>
      <c r="N172" s="4"/>
      <c r="O172" s="4"/>
      <c r="T172" s="4"/>
      <c r="X172" s="4"/>
      <c r="AG172" s="4"/>
      <c r="AH172" s="4"/>
      <c r="AI172" s="4"/>
      <c r="AJ172" s="4"/>
      <c r="AK172" s="4"/>
      <c r="AN172" s="7"/>
      <c r="AU172" s="8"/>
      <c r="AV172" s="8"/>
      <c r="AW172" s="9"/>
      <c r="AZ172" s="8"/>
      <c r="BA172" s="8"/>
      <c r="BB172" s="9"/>
      <c r="BE172" s="8"/>
      <c r="BF172" s="8"/>
      <c r="BG172" s="9"/>
      <c r="BJ172" s="8"/>
      <c r="BK172" s="8"/>
      <c r="BL172" s="9"/>
    </row>
    <row r="173" s="1" customFormat="1">
      <c r="B173" s="2"/>
      <c r="C173" s="2"/>
      <c r="E173" s="2"/>
      <c r="F173" s="3"/>
      <c r="G173" s="3"/>
      <c r="H173" s="3"/>
      <c r="I173" s="2"/>
      <c r="J173" s="2"/>
      <c r="M173" s="4"/>
      <c r="N173" s="4"/>
      <c r="O173" s="4"/>
      <c r="T173" s="4"/>
      <c r="X173" s="4"/>
      <c r="AG173" s="4"/>
      <c r="AH173" s="4"/>
      <c r="AI173" s="4"/>
      <c r="AJ173" s="4"/>
      <c r="AK173" s="4"/>
      <c r="AN173" s="7"/>
      <c r="AU173" s="8"/>
      <c r="AV173" s="8"/>
      <c r="AW173" s="9"/>
      <c r="AZ173" s="8"/>
      <c r="BA173" s="8"/>
      <c r="BB173" s="9"/>
      <c r="BE173" s="8"/>
      <c r="BF173" s="8"/>
      <c r="BG173" s="9"/>
      <c r="BJ173" s="8"/>
      <c r="BK173" s="8"/>
      <c r="BL173" s="9"/>
    </row>
    <row r="174" s="1" customFormat="1">
      <c r="B174" s="2"/>
      <c r="C174" s="2"/>
      <c r="E174" s="2"/>
      <c r="F174" s="3"/>
      <c r="G174" s="3"/>
      <c r="H174" s="3"/>
      <c r="I174" s="2"/>
      <c r="J174" s="2"/>
      <c r="M174" s="4"/>
      <c r="N174" s="4"/>
      <c r="O174" s="4"/>
      <c r="T174" s="4"/>
      <c r="X174" s="4"/>
      <c r="AG174" s="4"/>
      <c r="AH174" s="4"/>
      <c r="AI174" s="4"/>
      <c r="AJ174" s="4"/>
      <c r="AK174" s="4"/>
      <c r="AN174" s="7"/>
      <c r="AU174" s="8"/>
      <c r="AV174" s="8"/>
      <c r="AW174" s="9"/>
      <c r="AZ174" s="8"/>
      <c r="BA174" s="8"/>
      <c r="BB174" s="9"/>
      <c r="BE174" s="8"/>
      <c r="BF174" s="8"/>
      <c r="BG174" s="9"/>
      <c r="BJ174" s="8"/>
      <c r="BK174" s="8"/>
      <c r="BL174" s="9"/>
    </row>
    <row r="175" s="1" customFormat="1">
      <c r="B175" s="2"/>
      <c r="C175" s="2"/>
      <c r="E175" s="2"/>
      <c r="F175" s="3"/>
      <c r="G175" s="3"/>
      <c r="H175" s="3"/>
      <c r="I175" s="2"/>
      <c r="J175" s="2"/>
      <c r="M175" s="4"/>
      <c r="N175" s="4"/>
      <c r="O175" s="4"/>
      <c r="T175" s="4"/>
      <c r="X175" s="4"/>
      <c r="AG175" s="4"/>
      <c r="AH175" s="4"/>
      <c r="AI175" s="4"/>
      <c r="AJ175" s="4"/>
      <c r="AK175" s="4"/>
      <c r="AN175" s="7"/>
      <c r="AU175" s="8"/>
      <c r="AV175" s="8"/>
      <c r="AW175" s="9"/>
      <c r="AZ175" s="8"/>
      <c r="BA175" s="8"/>
      <c r="BB175" s="9"/>
      <c r="BE175" s="8"/>
      <c r="BF175" s="8"/>
      <c r="BG175" s="9"/>
      <c r="BJ175" s="8"/>
      <c r="BK175" s="8"/>
      <c r="BL175" s="9"/>
    </row>
    <row r="176" s="1" customFormat="1">
      <c r="B176" s="2"/>
      <c r="C176" s="2"/>
      <c r="E176" s="2"/>
      <c r="F176" s="3"/>
      <c r="G176" s="3"/>
      <c r="H176" s="3"/>
      <c r="I176" s="2"/>
      <c r="J176" s="2"/>
      <c r="M176" s="4"/>
      <c r="N176" s="4"/>
      <c r="O176" s="4"/>
      <c r="T176" s="4"/>
      <c r="X176" s="4"/>
      <c r="AG176" s="4"/>
      <c r="AH176" s="4"/>
      <c r="AI176" s="4"/>
      <c r="AJ176" s="4"/>
      <c r="AK176" s="4"/>
      <c r="AN176" s="7"/>
      <c r="AU176" s="8"/>
      <c r="AV176" s="8"/>
      <c r="AW176" s="9"/>
      <c r="AZ176" s="8"/>
      <c r="BA176" s="8"/>
      <c r="BB176" s="9"/>
      <c r="BE176" s="8"/>
      <c r="BF176" s="8"/>
      <c r="BG176" s="9"/>
      <c r="BJ176" s="8"/>
      <c r="BK176" s="8"/>
      <c r="BL176" s="9"/>
    </row>
    <row r="177" s="1" customFormat="1">
      <c r="B177" s="2"/>
      <c r="C177" s="2"/>
      <c r="E177" s="2"/>
      <c r="F177" s="3"/>
      <c r="G177" s="3"/>
      <c r="H177" s="3"/>
      <c r="I177" s="2"/>
      <c r="J177" s="2"/>
      <c r="M177" s="4"/>
      <c r="N177" s="4"/>
      <c r="O177" s="4"/>
      <c r="T177" s="4"/>
      <c r="X177" s="4"/>
      <c r="AG177" s="4"/>
      <c r="AH177" s="4"/>
      <c r="AI177" s="4"/>
      <c r="AJ177" s="4"/>
      <c r="AK177" s="4"/>
      <c r="AN177" s="7"/>
      <c r="AU177" s="8"/>
      <c r="AV177" s="8"/>
      <c r="AW177" s="9"/>
      <c r="AZ177" s="8"/>
      <c r="BA177" s="8"/>
      <c r="BB177" s="9"/>
      <c r="BE177" s="8"/>
      <c r="BF177" s="8"/>
      <c r="BG177" s="9"/>
      <c r="BJ177" s="8"/>
      <c r="BK177" s="8"/>
      <c r="BL177" s="9"/>
    </row>
    <row r="178" s="1" customFormat="1">
      <c r="B178" s="2"/>
      <c r="C178" s="2"/>
      <c r="E178" s="2"/>
      <c r="F178" s="3"/>
      <c r="G178" s="3"/>
      <c r="H178" s="3"/>
      <c r="I178" s="2"/>
      <c r="J178" s="2"/>
      <c r="M178" s="4"/>
      <c r="N178" s="4"/>
      <c r="O178" s="4"/>
      <c r="T178" s="4"/>
      <c r="X178" s="4"/>
      <c r="AG178" s="4"/>
      <c r="AH178" s="4"/>
      <c r="AI178" s="4"/>
      <c r="AJ178" s="4"/>
      <c r="AK178" s="4"/>
      <c r="AN178" s="7"/>
      <c r="AU178" s="8"/>
      <c r="AV178" s="8"/>
      <c r="AW178" s="9"/>
      <c r="AZ178" s="8"/>
      <c r="BA178" s="8"/>
      <c r="BB178" s="9"/>
      <c r="BE178" s="8"/>
      <c r="BF178" s="8"/>
      <c r="BG178" s="9"/>
      <c r="BJ178" s="8"/>
      <c r="BK178" s="8"/>
      <c r="BL178" s="9"/>
    </row>
    <row r="179" s="1" customFormat="1">
      <c r="B179" s="2"/>
      <c r="C179" s="2"/>
      <c r="E179" s="2"/>
      <c r="F179" s="3"/>
      <c r="G179" s="3"/>
      <c r="H179" s="3"/>
      <c r="I179" s="2"/>
      <c r="J179" s="2"/>
      <c r="M179" s="4"/>
      <c r="N179" s="4"/>
      <c r="O179" s="4"/>
      <c r="T179" s="4"/>
      <c r="X179" s="4"/>
      <c r="AG179" s="4"/>
      <c r="AH179" s="4"/>
      <c r="AI179" s="4"/>
      <c r="AJ179" s="4"/>
      <c r="AK179" s="4"/>
      <c r="AN179" s="7"/>
      <c r="AU179" s="8"/>
      <c r="AV179" s="8"/>
      <c r="AW179" s="9"/>
      <c r="AZ179" s="8"/>
      <c r="BA179" s="8"/>
      <c r="BB179" s="9"/>
      <c r="BE179" s="8"/>
      <c r="BF179" s="8"/>
      <c r="BG179" s="9"/>
      <c r="BJ179" s="8"/>
      <c r="BK179" s="8"/>
      <c r="BL179" s="9"/>
    </row>
    <row r="180" s="1" customFormat="1">
      <c r="B180" s="2"/>
      <c r="C180" s="2"/>
      <c r="E180" s="2"/>
      <c r="F180" s="3"/>
      <c r="G180" s="3"/>
      <c r="H180" s="3"/>
      <c r="I180" s="2"/>
      <c r="J180" s="2"/>
      <c r="M180" s="4"/>
      <c r="N180" s="4"/>
      <c r="O180" s="4"/>
      <c r="T180" s="4"/>
      <c r="X180" s="4"/>
      <c r="AG180" s="4"/>
      <c r="AH180" s="4"/>
      <c r="AI180" s="4"/>
      <c r="AJ180" s="4"/>
      <c r="AK180" s="4"/>
      <c r="AN180" s="7"/>
      <c r="AU180" s="8"/>
      <c r="AV180" s="8"/>
      <c r="AW180" s="9"/>
      <c r="AZ180" s="8"/>
      <c r="BA180" s="8"/>
      <c r="BB180" s="9"/>
      <c r="BE180" s="8"/>
      <c r="BF180" s="8"/>
      <c r="BG180" s="9"/>
      <c r="BJ180" s="8"/>
      <c r="BK180" s="8"/>
      <c r="BL180" s="9"/>
    </row>
    <row r="181" s="1" customFormat="1">
      <c r="B181" s="2"/>
      <c r="C181" s="2"/>
      <c r="E181" s="2"/>
      <c r="F181" s="3"/>
      <c r="G181" s="3"/>
      <c r="H181" s="3"/>
      <c r="I181" s="2"/>
      <c r="J181" s="2"/>
      <c r="M181" s="4"/>
      <c r="N181" s="4"/>
      <c r="O181" s="4"/>
      <c r="T181" s="4"/>
      <c r="X181" s="4"/>
      <c r="AG181" s="4"/>
      <c r="AH181" s="4"/>
      <c r="AI181" s="4"/>
      <c r="AJ181" s="4"/>
      <c r="AK181" s="4"/>
      <c r="AN181" s="7"/>
      <c r="AU181" s="8"/>
      <c r="AV181" s="8"/>
      <c r="AW181" s="9"/>
      <c r="AZ181" s="8"/>
      <c r="BA181" s="8"/>
      <c r="BB181" s="9"/>
      <c r="BE181" s="8"/>
      <c r="BF181" s="8"/>
      <c r="BG181" s="9"/>
      <c r="BJ181" s="8"/>
      <c r="BK181" s="8"/>
      <c r="BL181" s="9"/>
    </row>
    <row r="182" s="1" customFormat="1">
      <c r="B182" s="2"/>
      <c r="C182" s="2"/>
      <c r="E182" s="2"/>
      <c r="F182" s="3"/>
      <c r="G182" s="3"/>
      <c r="H182" s="3"/>
      <c r="I182" s="2"/>
      <c r="J182" s="2"/>
      <c r="M182" s="4"/>
      <c r="N182" s="4"/>
      <c r="O182" s="4"/>
      <c r="T182" s="4"/>
      <c r="X182" s="4"/>
      <c r="AG182" s="4"/>
      <c r="AH182" s="4"/>
      <c r="AI182" s="4"/>
      <c r="AJ182" s="4"/>
      <c r="AK182" s="4"/>
      <c r="AN182" s="7"/>
      <c r="AU182" s="8"/>
      <c r="AV182" s="8"/>
      <c r="AW182" s="9"/>
      <c r="AZ182" s="8"/>
      <c r="BA182" s="8"/>
      <c r="BB182" s="9"/>
      <c r="BE182" s="8"/>
      <c r="BF182" s="8"/>
      <c r="BG182" s="9"/>
      <c r="BJ182" s="8"/>
      <c r="BK182" s="8"/>
      <c r="BL182" s="9"/>
    </row>
    <row r="183" s="1" customFormat="1">
      <c r="B183" s="2"/>
      <c r="C183" s="2"/>
      <c r="E183" s="2"/>
      <c r="F183" s="3"/>
      <c r="G183" s="3"/>
      <c r="H183" s="3"/>
      <c r="I183" s="2"/>
      <c r="J183" s="2"/>
      <c r="M183" s="4"/>
      <c r="N183" s="4"/>
      <c r="O183" s="4"/>
      <c r="T183" s="4"/>
      <c r="X183" s="4"/>
      <c r="AG183" s="4"/>
      <c r="AH183" s="4"/>
      <c r="AI183" s="4"/>
      <c r="AJ183" s="4"/>
      <c r="AK183" s="4"/>
      <c r="AN183" s="7"/>
      <c r="AU183" s="8"/>
      <c r="AV183" s="8"/>
      <c r="AW183" s="9"/>
      <c r="AZ183" s="8"/>
      <c r="BA183" s="8"/>
      <c r="BB183" s="9"/>
      <c r="BE183" s="8"/>
      <c r="BF183" s="8"/>
      <c r="BG183" s="9"/>
      <c r="BJ183" s="8"/>
      <c r="BK183" s="8"/>
      <c r="BL183" s="9"/>
    </row>
    <row r="184" s="1" customFormat="1">
      <c r="B184" s="2"/>
      <c r="C184" s="2"/>
      <c r="E184" s="2"/>
      <c r="F184" s="3"/>
      <c r="G184" s="3"/>
      <c r="H184" s="3"/>
      <c r="I184" s="2"/>
      <c r="J184" s="2"/>
      <c r="M184" s="4"/>
      <c r="N184" s="4"/>
      <c r="O184" s="4"/>
      <c r="T184" s="4"/>
      <c r="X184" s="4"/>
      <c r="AG184" s="4"/>
      <c r="AH184" s="4"/>
      <c r="AI184" s="4"/>
      <c r="AJ184" s="4"/>
      <c r="AK184" s="4"/>
      <c r="AN184" s="7"/>
      <c r="AU184" s="8"/>
      <c r="AV184" s="8"/>
      <c r="AW184" s="9"/>
      <c r="AZ184" s="8"/>
      <c r="BA184" s="8"/>
      <c r="BB184" s="9"/>
      <c r="BE184" s="8"/>
      <c r="BF184" s="8"/>
      <c r="BG184" s="9"/>
      <c r="BJ184" s="8"/>
      <c r="BK184" s="8"/>
      <c r="BL184" s="9"/>
    </row>
    <row r="185" s="1" customFormat="1">
      <c r="B185" s="2"/>
      <c r="C185" s="2"/>
      <c r="E185" s="2"/>
      <c r="F185" s="3"/>
      <c r="G185" s="3"/>
      <c r="H185" s="3"/>
      <c r="I185" s="2"/>
      <c r="J185" s="2"/>
      <c r="M185" s="4"/>
      <c r="N185" s="4"/>
      <c r="O185" s="4"/>
      <c r="T185" s="4"/>
      <c r="X185" s="4"/>
      <c r="AG185" s="4"/>
      <c r="AH185" s="4"/>
      <c r="AI185" s="4"/>
      <c r="AJ185" s="4"/>
      <c r="AK185" s="4"/>
      <c r="AN185" s="7"/>
      <c r="AU185" s="8"/>
      <c r="AV185" s="8"/>
      <c r="AW185" s="9"/>
      <c r="AZ185" s="8"/>
      <c r="BA185" s="8"/>
      <c r="BB185" s="9"/>
      <c r="BE185" s="8"/>
      <c r="BF185" s="8"/>
      <c r="BG185" s="9"/>
      <c r="BJ185" s="8"/>
      <c r="BK185" s="8"/>
      <c r="BL185" s="9"/>
    </row>
    <row r="186" s="1" customFormat="1">
      <c r="B186" s="2"/>
      <c r="C186" s="2"/>
      <c r="E186" s="2"/>
      <c r="F186" s="3"/>
      <c r="G186" s="3"/>
      <c r="H186" s="3"/>
      <c r="I186" s="2"/>
      <c r="J186" s="2"/>
      <c r="M186" s="4"/>
      <c r="N186" s="4"/>
      <c r="O186" s="4"/>
      <c r="T186" s="4"/>
      <c r="X186" s="4"/>
      <c r="AG186" s="4"/>
      <c r="AH186" s="4"/>
      <c r="AI186" s="4"/>
      <c r="AJ186" s="4"/>
      <c r="AK186" s="4"/>
      <c r="AN186" s="7"/>
      <c r="AU186" s="8"/>
      <c r="AV186" s="8"/>
      <c r="AW186" s="9"/>
      <c r="AZ186" s="8"/>
      <c r="BA186" s="8"/>
      <c r="BB186" s="9"/>
      <c r="BE186" s="8"/>
      <c r="BF186" s="8"/>
      <c r="BG186" s="9"/>
      <c r="BJ186" s="8"/>
      <c r="BK186" s="8"/>
      <c r="BL186" s="9"/>
    </row>
    <row r="187" s="1" customFormat="1">
      <c r="B187" s="2"/>
      <c r="C187" s="2"/>
      <c r="E187" s="2"/>
      <c r="F187" s="3"/>
      <c r="G187" s="3"/>
      <c r="H187" s="3"/>
      <c r="I187" s="2"/>
      <c r="J187" s="2"/>
      <c r="M187" s="4"/>
      <c r="N187" s="4"/>
      <c r="O187" s="4"/>
      <c r="T187" s="4"/>
      <c r="X187" s="4"/>
      <c r="AG187" s="4"/>
      <c r="AH187" s="4"/>
      <c r="AI187" s="4"/>
      <c r="AJ187" s="4"/>
      <c r="AK187" s="4"/>
      <c r="AN187" s="7"/>
      <c r="AU187" s="8"/>
      <c r="AV187" s="8"/>
      <c r="AW187" s="9"/>
      <c r="AZ187" s="8"/>
      <c r="BA187" s="8"/>
      <c r="BB187" s="9"/>
      <c r="BE187" s="8"/>
      <c r="BF187" s="8"/>
      <c r="BG187" s="9"/>
      <c r="BJ187" s="8"/>
      <c r="BK187" s="8"/>
      <c r="BL187" s="9"/>
    </row>
    <row r="188" s="1" customFormat="1">
      <c r="B188" s="2"/>
      <c r="C188" s="2"/>
      <c r="E188" s="2"/>
      <c r="F188" s="3"/>
      <c r="G188" s="3"/>
      <c r="H188" s="3"/>
      <c r="I188" s="2"/>
      <c r="J188" s="2"/>
      <c r="M188" s="4"/>
      <c r="N188" s="4"/>
      <c r="O188" s="4"/>
      <c r="T188" s="4"/>
      <c r="X188" s="4"/>
      <c r="AG188" s="4"/>
      <c r="AH188" s="4"/>
      <c r="AI188" s="4"/>
      <c r="AJ188" s="4"/>
      <c r="AK188" s="4"/>
      <c r="AN188" s="7"/>
      <c r="AU188" s="8"/>
      <c r="AV188" s="8"/>
      <c r="AW188" s="9"/>
      <c r="AZ188" s="8"/>
      <c r="BA188" s="8"/>
      <c r="BB188" s="9"/>
      <c r="BE188" s="8"/>
      <c r="BF188" s="8"/>
      <c r="BG188" s="9"/>
      <c r="BJ188" s="8"/>
      <c r="BK188" s="8"/>
      <c r="BL188" s="9"/>
    </row>
    <row r="189" s="1" customFormat="1">
      <c r="B189" s="2"/>
      <c r="C189" s="2"/>
      <c r="E189" s="2"/>
      <c r="F189" s="3"/>
      <c r="G189" s="3"/>
      <c r="H189" s="3"/>
      <c r="I189" s="2"/>
      <c r="J189" s="2"/>
      <c r="M189" s="4"/>
      <c r="N189" s="4"/>
      <c r="O189" s="4"/>
      <c r="T189" s="4"/>
      <c r="X189" s="4"/>
      <c r="AG189" s="4"/>
      <c r="AH189" s="4"/>
      <c r="AI189" s="4"/>
      <c r="AJ189" s="4"/>
      <c r="AK189" s="4"/>
      <c r="AN189" s="7"/>
      <c r="AU189" s="8"/>
      <c r="AV189" s="8"/>
      <c r="AW189" s="9"/>
      <c r="AZ189" s="8"/>
      <c r="BA189" s="8"/>
      <c r="BB189" s="9"/>
      <c r="BE189" s="8"/>
      <c r="BF189" s="8"/>
      <c r="BG189" s="9"/>
      <c r="BJ189" s="8"/>
      <c r="BK189" s="8"/>
      <c r="BL189" s="9"/>
    </row>
    <row r="190" s="1" customFormat="1">
      <c r="B190" s="2"/>
      <c r="C190" s="2"/>
      <c r="E190" s="2"/>
      <c r="F190" s="3"/>
      <c r="G190" s="3"/>
      <c r="H190" s="3"/>
      <c r="I190" s="2"/>
      <c r="J190" s="2"/>
      <c r="M190" s="4"/>
      <c r="N190" s="4"/>
      <c r="O190" s="4"/>
      <c r="T190" s="4"/>
      <c r="X190" s="4"/>
      <c r="AG190" s="4"/>
      <c r="AH190" s="4"/>
      <c r="AI190" s="4"/>
      <c r="AJ190" s="4"/>
      <c r="AK190" s="4"/>
      <c r="AN190" s="7"/>
      <c r="AU190" s="8"/>
      <c r="AV190" s="8"/>
      <c r="AW190" s="9"/>
      <c r="AZ190" s="8"/>
      <c r="BA190" s="8"/>
      <c r="BB190" s="9"/>
      <c r="BE190" s="8"/>
      <c r="BF190" s="8"/>
      <c r="BG190" s="9"/>
      <c r="BJ190" s="8"/>
      <c r="BK190" s="8"/>
      <c r="BL190" s="9"/>
    </row>
    <row r="191" s="1" customFormat="1">
      <c r="B191" s="2"/>
      <c r="C191" s="2"/>
      <c r="E191" s="2"/>
      <c r="F191" s="3"/>
      <c r="G191" s="3"/>
      <c r="H191" s="3"/>
      <c r="I191" s="2"/>
      <c r="J191" s="2"/>
      <c r="M191" s="4"/>
      <c r="N191" s="4"/>
      <c r="O191" s="4"/>
      <c r="T191" s="4"/>
      <c r="X191" s="4"/>
      <c r="AG191" s="4"/>
      <c r="AH191" s="4"/>
      <c r="AI191" s="4"/>
      <c r="AJ191" s="4"/>
      <c r="AK191" s="4"/>
      <c r="AN191" s="7"/>
      <c r="AU191" s="8"/>
      <c r="AV191" s="8"/>
      <c r="AW191" s="9"/>
      <c r="AZ191" s="8"/>
      <c r="BA191" s="8"/>
      <c r="BB191" s="9"/>
      <c r="BE191" s="8"/>
      <c r="BF191" s="8"/>
      <c r="BG191" s="9"/>
      <c r="BJ191" s="8"/>
      <c r="BK191" s="8"/>
      <c r="BL191" s="9"/>
    </row>
    <row r="192" s="1" customFormat="1">
      <c r="B192" s="2"/>
      <c r="C192" s="2"/>
      <c r="E192" s="2"/>
      <c r="F192" s="3"/>
      <c r="G192" s="3"/>
      <c r="H192" s="3"/>
      <c r="I192" s="2"/>
      <c r="J192" s="2"/>
      <c r="M192" s="4"/>
      <c r="N192" s="4"/>
      <c r="O192" s="4"/>
      <c r="T192" s="4"/>
      <c r="X192" s="4"/>
      <c r="AG192" s="4"/>
      <c r="AH192" s="4"/>
      <c r="AI192" s="4"/>
      <c r="AJ192" s="4"/>
      <c r="AK192" s="4"/>
      <c r="AN192" s="7"/>
      <c r="AU192" s="8"/>
      <c r="AV192" s="8"/>
      <c r="AW192" s="9"/>
      <c r="AZ192" s="8"/>
      <c r="BA192" s="8"/>
      <c r="BB192" s="9"/>
      <c r="BE192" s="8"/>
      <c r="BF192" s="8"/>
      <c r="BG192" s="9"/>
      <c r="BJ192" s="8"/>
      <c r="BK192" s="8"/>
      <c r="BL192" s="9"/>
    </row>
    <row r="193" s="1" customFormat="1">
      <c r="B193" s="2"/>
      <c r="C193" s="2"/>
      <c r="E193" s="2"/>
      <c r="F193" s="3"/>
      <c r="G193" s="3"/>
      <c r="H193" s="3"/>
      <c r="I193" s="2"/>
      <c r="J193" s="2"/>
      <c r="M193" s="4"/>
      <c r="N193" s="4"/>
      <c r="O193" s="4"/>
      <c r="T193" s="4"/>
      <c r="X193" s="4"/>
      <c r="AG193" s="4"/>
      <c r="AH193" s="4"/>
      <c r="AI193" s="4"/>
      <c r="AJ193" s="4"/>
      <c r="AK193" s="4"/>
      <c r="AN193" s="7"/>
      <c r="AU193" s="8"/>
      <c r="AV193" s="8"/>
      <c r="AW193" s="9"/>
      <c r="AZ193" s="8"/>
      <c r="BA193" s="8"/>
      <c r="BB193" s="9"/>
      <c r="BE193" s="8"/>
      <c r="BF193" s="8"/>
      <c r="BG193" s="9"/>
      <c r="BJ193" s="8"/>
      <c r="BK193" s="8"/>
      <c r="BL193" s="9"/>
    </row>
    <row r="194" s="1" customFormat="1">
      <c r="B194" s="2"/>
      <c r="C194" s="2"/>
      <c r="E194" s="2"/>
      <c r="F194" s="3"/>
      <c r="G194" s="3"/>
      <c r="H194" s="3"/>
      <c r="I194" s="2"/>
      <c r="J194" s="2"/>
      <c r="M194" s="4"/>
      <c r="N194" s="4"/>
      <c r="O194" s="4"/>
      <c r="T194" s="4"/>
      <c r="X194" s="4"/>
      <c r="AG194" s="4"/>
      <c r="AH194" s="4"/>
      <c r="AI194" s="4"/>
      <c r="AJ194" s="4"/>
      <c r="AK194" s="4"/>
      <c r="AN194" s="7"/>
      <c r="AU194" s="8"/>
      <c r="AV194" s="8"/>
      <c r="AW194" s="9"/>
      <c r="AZ194" s="8"/>
      <c r="BA194" s="8"/>
      <c r="BB194" s="9"/>
      <c r="BE194" s="8"/>
      <c r="BF194" s="8"/>
      <c r="BG194" s="9"/>
      <c r="BJ194" s="8"/>
      <c r="BK194" s="8"/>
      <c r="BL194" s="9"/>
    </row>
    <row r="195" s="1" customFormat="1">
      <c r="B195" s="2"/>
      <c r="C195" s="2"/>
      <c r="E195" s="2"/>
      <c r="F195" s="3"/>
      <c r="G195" s="3"/>
      <c r="H195" s="3"/>
      <c r="I195" s="2"/>
      <c r="J195" s="2"/>
      <c r="M195" s="4"/>
      <c r="N195" s="4"/>
      <c r="O195" s="4"/>
      <c r="T195" s="4"/>
      <c r="X195" s="4"/>
      <c r="AG195" s="4"/>
      <c r="AH195" s="4"/>
      <c r="AI195" s="4"/>
      <c r="AJ195" s="4"/>
      <c r="AK195" s="4"/>
      <c r="AN195" s="7"/>
      <c r="AU195" s="8"/>
      <c r="AV195" s="8"/>
      <c r="AW195" s="9"/>
      <c r="AZ195" s="8"/>
      <c r="BA195" s="8"/>
      <c r="BB195" s="9"/>
      <c r="BE195" s="8"/>
      <c r="BF195" s="8"/>
      <c r="BG195" s="9"/>
      <c r="BJ195" s="8"/>
      <c r="BK195" s="8"/>
      <c r="BL195" s="9"/>
    </row>
    <row r="196" s="1" customFormat="1">
      <c r="B196" s="2"/>
      <c r="C196" s="2"/>
      <c r="E196" s="2"/>
      <c r="F196" s="3"/>
      <c r="G196" s="3"/>
      <c r="H196" s="3"/>
      <c r="I196" s="2"/>
      <c r="J196" s="2"/>
      <c r="M196" s="4"/>
      <c r="N196" s="4"/>
      <c r="O196" s="4"/>
      <c r="T196" s="4"/>
      <c r="X196" s="4"/>
      <c r="AG196" s="4"/>
      <c r="AH196" s="4"/>
      <c r="AI196" s="4"/>
      <c r="AJ196" s="4"/>
      <c r="AK196" s="4"/>
      <c r="AN196" s="7"/>
      <c r="AU196" s="8"/>
      <c r="AV196" s="8"/>
      <c r="AW196" s="9"/>
      <c r="AZ196" s="8"/>
      <c r="BA196" s="8"/>
      <c r="BB196" s="9"/>
      <c r="BE196" s="8"/>
      <c r="BF196" s="8"/>
      <c r="BG196" s="9"/>
      <c r="BJ196" s="8"/>
      <c r="BK196" s="8"/>
      <c r="BL196" s="9"/>
    </row>
    <row r="197" s="1" customFormat="1">
      <c r="B197" s="2"/>
      <c r="C197" s="2"/>
      <c r="E197" s="2"/>
      <c r="F197" s="3"/>
      <c r="G197" s="3"/>
      <c r="H197" s="3"/>
      <c r="I197" s="2"/>
      <c r="J197" s="2"/>
      <c r="M197" s="4"/>
      <c r="N197" s="4"/>
      <c r="O197" s="4"/>
      <c r="T197" s="4"/>
      <c r="X197" s="4"/>
      <c r="AG197" s="4"/>
      <c r="AH197" s="4"/>
      <c r="AI197" s="4"/>
      <c r="AJ197" s="4"/>
      <c r="AK197" s="4"/>
      <c r="AN197" s="7"/>
      <c r="AU197" s="8"/>
      <c r="AV197" s="8"/>
      <c r="AW197" s="9"/>
      <c r="AZ197" s="8"/>
      <c r="BA197" s="8"/>
      <c r="BB197" s="9"/>
      <c r="BE197" s="8"/>
      <c r="BF197" s="8"/>
      <c r="BG197" s="9"/>
      <c r="BJ197" s="8"/>
      <c r="BK197" s="8"/>
      <c r="BL197" s="9"/>
    </row>
    <row r="198" s="1" customFormat="1">
      <c r="B198" s="2"/>
      <c r="C198" s="2"/>
      <c r="E198" s="2"/>
      <c r="F198" s="3"/>
      <c r="G198" s="3"/>
      <c r="H198" s="3"/>
      <c r="I198" s="2"/>
      <c r="J198" s="2"/>
      <c r="M198" s="4"/>
      <c r="N198" s="4"/>
      <c r="O198" s="4"/>
      <c r="T198" s="4"/>
      <c r="X198" s="4"/>
      <c r="AG198" s="4"/>
      <c r="AH198" s="4"/>
      <c r="AI198" s="4"/>
      <c r="AJ198" s="4"/>
      <c r="AK198" s="4"/>
      <c r="AN198" s="7"/>
      <c r="AU198" s="8"/>
      <c r="AV198" s="8"/>
      <c r="AW198" s="9"/>
      <c r="AZ198" s="8"/>
      <c r="BA198" s="8"/>
      <c r="BB198" s="9"/>
      <c r="BE198" s="8"/>
      <c r="BF198" s="8"/>
      <c r="BG198" s="9"/>
      <c r="BJ198" s="8"/>
      <c r="BK198" s="8"/>
      <c r="BL198" s="9"/>
    </row>
    <row r="199" s="1" customFormat="1">
      <c r="B199" s="2"/>
      <c r="C199" s="2"/>
      <c r="E199" s="2"/>
      <c r="F199" s="3"/>
      <c r="G199" s="3"/>
      <c r="H199" s="3"/>
      <c r="I199" s="2"/>
      <c r="J199" s="2"/>
      <c r="M199" s="4"/>
      <c r="N199" s="4"/>
      <c r="O199" s="4"/>
      <c r="T199" s="4"/>
      <c r="X199" s="4"/>
      <c r="AG199" s="4"/>
      <c r="AH199" s="4"/>
      <c r="AI199" s="4"/>
      <c r="AJ199" s="4"/>
      <c r="AK199" s="4"/>
      <c r="AN199" s="7"/>
      <c r="AU199" s="8"/>
      <c r="AV199" s="8"/>
      <c r="AW199" s="9"/>
      <c r="AZ199" s="8"/>
      <c r="BA199" s="8"/>
      <c r="BB199" s="9"/>
      <c r="BE199" s="8"/>
      <c r="BF199" s="8"/>
      <c r="BG199" s="9"/>
      <c r="BJ199" s="8"/>
      <c r="BK199" s="8"/>
      <c r="BL199" s="9"/>
    </row>
    <row r="200" s="1" customFormat="1">
      <c r="B200" s="2"/>
      <c r="C200" s="2"/>
      <c r="E200" s="2"/>
      <c r="F200" s="3"/>
      <c r="G200" s="3"/>
      <c r="H200" s="3"/>
      <c r="I200" s="2"/>
      <c r="J200" s="2"/>
      <c r="M200" s="4"/>
      <c r="N200" s="4"/>
      <c r="O200" s="4"/>
      <c r="T200" s="4"/>
      <c r="X200" s="4"/>
      <c r="AG200" s="4"/>
      <c r="AH200" s="4"/>
      <c r="AI200" s="4"/>
      <c r="AJ200" s="4"/>
      <c r="AK200" s="4"/>
      <c r="AN200" s="7"/>
      <c r="AU200" s="8"/>
      <c r="AV200" s="8"/>
      <c r="AW200" s="9"/>
      <c r="AZ200" s="8"/>
      <c r="BA200" s="8"/>
      <c r="BB200" s="9"/>
      <c r="BE200" s="8"/>
      <c r="BF200" s="8"/>
      <c r="BG200" s="9"/>
      <c r="BJ200" s="8"/>
      <c r="BK200" s="8"/>
      <c r="BL200" s="9"/>
    </row>
    <row r="201" s="1" customFormat="1">
      <c r="B201" s="2"/>
      <c r="C201" s="2"/>
      <c r="E201" s="2"/>
      <c r="F201" s="3"/>
      <c r="G201" s="3"/>
      <c r="H201" s="3"/>
      <c r="I201" s="2"/>
      <c r="J201" s="2"/>
      <c r="M201" s="4"/>
      <c r="N201" s="4"/>
      <c r="O201" s="4"/>
      <c r="T201" s="4"/>
      <c r="X201" s="4"/>
      <c r="AG201" s="4"/>
      <c r="AH201" s="4"/>
      <c r="AI201" s="4"/>
      <c r="AJ201" s="4"/>
      <c r="AK201" s="4"/>
      <c r="AN201" s="7"/>
      <c r="AU201" s="8"/>
      <c r="AV201" s="8"/>
      <c r="AW201" s="9"/>
      <c r="AZ201" s="8"/>
      <c r="BA201" s="8"/>
      <c r="BB201" s="9"/>
      <c r="BE201" s="8"/>
      <c r="BF201" s="8"/>
      <c r="BG201" s="9"/>
      <c r="BJ201" s="8"/>
      <c r="BK201" s="8"/>
      <c r="BL201" s="9"/>
    </row>
    <row r="202" s="1" customFormat="1">
      <c r="B202" s="2"/>
      <c r="C202" s="2"/>
      <c r="E202" s="2"/>
      <c r="F202" s="3"/>
      <c r="G202" s="3"/>
      <c r="H202" s="3"/>
      <c r="I202" s="2"/>
      <c r="J202" s="2"/>
      <c r="M202" s="4"/>
      <c r="N202" s="4"/>
      <c r="O202" s="4"/>
      <c r="T202" s="4"/>
      <c r="X202" s="4"/>
      <c r="AG202" s="4"/>
      <c r="AH202" s="4"/>
      <c r="AI202" s="4"/>
      <c r="AJ202" s="4"/>
      <c r="AK202" s="4"/>
      <c r="AN202" s="7"/>
      <c r="AU202" s="8"/>
      <c r="AV202" s="8"/>
      <c r="AW202" s="9"/>
      <c r="AZ202" s="8"/>
      <c r="BA202" s="8"/>
      <c r="BB202" s="9"/>
      <c r="BE202" s="8"/>
      <c r="BF202" s="8"/>
      <c r="BG202" s="9"/>
      <c r="BJ202" s="8"/>
      <c r="BK202" s="8"/>
      <c r="BL202" s="9"/>
    </row>
    <row r="203" s="1" customFormat="1">
      <c r="B203" s="2"/>
      <c r="C203" s="2"/>
      <c r="E203" s="2"/>
      <c r="F203" s="3"/>
      <c r="G203" s="3"/>
      <c r="H203" s="3"/>
      <c r="I203" s="2"/>
      <c r="J203" s="2"/>
      <c r="M203" s="4"/>
      <c r="N203" s="4"/>
      <c r="O203" s="4"/>
      <c r="T203" s="4"/>
      <c r="X203" s="4"/>
      <c r="AG203" s="4"/>
      <c r="AH203" s="4"/>
      <c r="AI203" s="4"/>
      <c r="AJ203" s="4"/>
      <c r="AK203" s="4"/>
      <c r="AN203" s="7"/>
      <c r="AU203" s="8"/>
      <c r="AV203" s="8"/>
      <c r="AW203" s="9"/>
      <c r="AZ203" s="8"/>
      <c r="BA203" s="8"/>
      <c r="BB203" s="9"/>
      <c r="BE203" s="8"/>
      <c r="BF203" s="8"/>
      <c r="BG203" s="9"/>
      <c r="BJ203" s="8"/>
      <c r="BK203" s="8"/>
      <c r="BL203" s="9"/>
    </row>
    <row r="204" s="1" customFormat="1">
      <c r="B204" s="2"/>
      <c r="C204" s="2"/>
      <c r="E204" s="2"/>
      <c r="F204" s="3"/>
      <c r="G204" s="3"/>
      <c r="H204" s="3"/>
      <c r="I204" s="2"/>
      <c r="J204" s="2"/>
      <c r="M204" s="4"/>
      <c r="N204" s="4"/>
      <c r="O204" s="4"/>
      <c r="T204" s="4"/>
      <c r="X204" s="4"/>
      <c r="AG204" s="4"/>
      <c r="AH204" s="4"/>
      <c r="AI204" s="4"/>
      <c r="AJ204" s="4"/>
      <c r="AK204" s="4"/>
      <c r="AN204" s="7"/>
      <c r="AU204" s="8"/>
      <c r="AV204" s="8"/>
      <c r="AW204" s="9"/>
      <c r="AZ204" s="8"/>
      <c r="BA204" s="8"/>
      <c r="BB204" s="9"/>
      <c r="BE204" s="8"/>
      <c r="BF204" s="8"/>
      <c r="BG204" s="9"/>
      <c r="BJ204" s="8"/>
      <c r="BK204" s="8"/>
      <c r="BL204" s="9"/>
    </row>
    <row r="205" s="1" customFormat="1">
      <c r="B205" s="2"/>
      <c r="C205" s="2"/>
      <c r="E205" s="2"/>
      <c r="F205" s="3"/>
      <c r="G205" s="3"/>
      <c r="H205" s="3"/>
      <c r="I205" s="2"/>
      <c r="J205" s="2"/>
      <c r="M205" s="4"/>
      <c r="N205" s="4"/>
      <c r="O205" s="4"/>
      <c r="T205" s="4"/>
      <c r="X205" s="4"/>
      <c r="AG205" s="4"/>
      <c r="AH205" s="4"/>
      <c r="AI205" s="4"/>
      <c r="AJ205" s="4"/>
      <c r="AK205" s="4"/>
      <c r="AN205" s="7"/>
      <c r="AU205" s="8"/>
      <c r="AV205" s="8"/>
      <c r="AW205" s="9"/>
      <c r="AZ205" s="8"/>
      <c r="BA205" s="8"/>
      <c r="BB205" s="9"/>
      <c r="BE205" s="8"/>
      <c r="BF205" s="8"/>
      <c r="BG205" s="9"/>
      <c r="BJ205" s="8"/>
      <c r="BK205" s="8"/>
      <c r="BL205" s="9"/>
    </row>
    <row r="206" s="1" customFormat="1">
      <c r="B206" s="2"/>
      <c r="C206" s="2"/>
      <c r="E206" s="2"/>
      <c r="F206" s="3"/>
      <c r="G206" s="3"/>
      <c r="H206" s="3"/>
      <c r="I206" s="2"/>
      <c r="J206" s="2"/>
      <c r="M206" s="4"/>
      <c r="N206" s="4"/>
      <c r="O206" s="4"/>
      <c r="T206" s="4"/>
      <c r="X206" s="4"/>
      <c r="AG206" s="4"/>
      <c r="AH206" s="4"/>
      <c r="AI206" s="4"/>
      <c r="AJ206" s="4"/>
      <c r="AK206" s="4"/>
      <c r="AN206" s="7"/>
      <c r="AU206" s="8"/>
      <c r="AV206" s="8"/>
      <c r="AW206" s="9"/>
      <c r="AZ206" s="8"/>
      <c r="BA206" s="8"/>
      <c r="BB206" s="9"/>
      <c r="BE206" s="8"/>
      <c r="BF206" s="8"/>
      <c r="BG206" s="9"/>
      <c r="BJ206" s="8"/>
      <c r="BK206" s="8"/>
      <c r="BL206" s="9"/>
    </row>
    <row r="207" s="1" customFormat="1">
      <c r="B207" s="2"/>
      <c r="C207" s="2"/>
      <c r="E207" s="2"/>
      <c r="F207" s="3"/>
      <c r="G207" s="3"/>
      <c r="H207" s="3"/>
      <c r="I207" s="2"/>
      <c r="J207" s="2"/>
      <c r="M207" s="4"/>
      <c r="N207" s="4"/>
      <c r="O207" s="4"/>
      <c r="T207" s="4"/>
      <c r="X207" s="4"/>
      <c r="AG207" s="4"/>
      <c r="AH207" s="4"/>
      <c r="AI207" s="4"/>
      <c r="AJ207" s="4"/>
      <c r="AK207" s="4"/>
      <c r="AN207" s="7"/>
      <c r="AU207" s="8"/>
      <c r="AV207" s="8"/>
      <c r="AW207" s="9"/>
      <c r="AZ207" s="8"/>
      <c r="BA207" s="8"/>
      <c r="BB207" s="9"/>
      <c r="BE207" s="8"/>
      <c r="BF207" s="8"/>
      <c r="BG207" s="9"/>
      <c r="BJ207" s="8"/>
      <c r="BK207" s="8"/>
      <c r="BL207" s="9"/>
    </row>
  </sheetData>
  <mergeCells count="11">
    <mergeCell ref="P1:T1"/>
    <mergeCell ref="W1:AL1"/>
    <mergeCell ref="AQ1:AR1"/>
    <mergeCell ref="AS1:BK1"/>
    <mergeCell ref="BU1:CJ1"/>
    <mergeCell ref="CK1:CR1"/>
    <mergeCell ref="CS1:DH1"/>
    <mergeCell ref="DI1:DP1"/>
    <mergeCell ref="X2:Z2"/>
    <mergeCell ref="AA2:AC2"/>
    <mergeCell ref="BM2:BT2"/>
  </mergeCells>
  <printOptions headings="0" gridLines="0"/>
  <pageMargins left="0.31496062992125984" right="0.31496062992125984" top="0.78740157480314954" bottom="0.78740157480314954" header="0.31496062992125984" footer="0.31496062992125984"/>
  <pageSetup paperSize="9" scale="11" fitToWidth="1" fitToHeight="0" pageOrder="downThenOver" orientation="landscape" usePrinterDefaults="1" blackAndWhite="0" draft="0" cellComments="none" useFirstPageNumber="0" errors="displayed" horizontalDpi="600" verticalDpi="600" copies="1"/>
  <headerFooter/>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1"/>
  </sheetPr>
  <sheetViews>
    <sheetView topLeftCell="CC1" zoomScale="120" workbookViewId="0">
      <pane ySplit="3" topLeftCell="A4" activePane="bottomLeft" state="frozen"/>
      <selection activeCell="CF171" activeCellId="0" sqref="CF171"/>
    </sheetView>
  </sheetViews>
  <sheetFormatPr baseColWidth="10" defaultColWidth="14.44140625" defaultRowHeight="14.25"/>
  <cols>
    <col bestFit="1" customWidth="1" min="1" max="1" style="51" width="30.44140625"/>
    <col bestFit="1" customWidth="1" min="2" max="2" style="51" width="18.44140625"/>
    <col bestFit="1" customWidth="1" min="3" max="3" style="51" width="14.109375"/>
    <col bestFit="1" customWidth="1" min="4" max="4" style="57" width="32"/>
    <col bestFit="1" customWidth="1" min="5" max="5" style="161" width="117.88671875"/>
    <col bestFit="1" customWidth="1" min="6" max="7" style="51" width="14.109375"/>
    <col bestFit="1" customWidth="1" min="8" max="8" style="51" width="17.44140625"/>
    <col bestFit="1" customWidth="1" min="9" max="9" style="51" width="11.5546875"/>
    <col customWidth="1" min="10" max="10" style="51" width="9.5546875"/>
    <col bestFit="1" customWidth="1" min="11" max="11" style="51" width="9.33203125"/>
    <col bestFit="1" customWidth="1" min="12" max="12" style="51" width="11.5546875"/>
    <col bestFit="1" customWidth="1" min="13" max="13" style="51" width="10.109375"/>
    <col bestFit="1" customWidth="1" min="14" max="14" style="51" width="9.33203125"/>
    <col bestFit="1" customWidth="1" min="15" max="15" style="51" width="28.6640625"/>
    <col bestFit="1" customWidth="1" min="16" max="16" style="51" width="12.88671875"/>
    <col bestFit="1" customWidth="1" min="17" max="17" style="51" width="11.6640625"/>
    <col bestFit="1" customWidth="1" min="18" max="18" style="57" width="35.44140625"/>
    <col bestFit="1" customWidth="1" min="19" max="19" style="51" width="5.109375"/>
    <col bestFit="1" customWidth="1" min="20" max="20" style="106" width="8"/>
    <col bestFit="1" customWidth="1" min="21" max="21" style="51" width="14.44140625"/>
    <col bestFit="1" customWidth="1" min="22" max="22" style="51" width="13.5546875"/>
    <col bestFit="1" customWidth="1" min="23" max="23" style="51" width="29.109375"/>
    <col bestFit="1" customWidth="1" min="24" max="24" style="51" width="18.6640625"/>
    <col bestFit="1" customWidth="1" min="25" max="25" style="51" width="8.44140625"/>
    <col bestFit="1" customWidth="1" min="26" max="26" style="51" width="9.33203125"/>
    <col bestFit="1" customWidth="1" min="27" max="27" style="51" width="10"/>
    <col bestFit="1" customWidth="1" min="28" max="28" style="51" width="9.44140625"/>
    <col bestFit="1" customWidth="1" min="29" max="29" style="51" width="8.5546875"/>
    <col bestFit="1" customWidth="1" min="30" max="30" style="51" width="11.109375"/>
    <col bestFit="1" customWidth="1" min="31" max="31" style="51" width="10"/>
    <col bestFit="1" customWidth="1" min="32" max="33" style="51" width="9.44140625"/>
    <col bestFit="1" customWidth="1" min="34" max="34" style="51" width="11.109375"/>
    <col bestFit="1" customWidth="1" min="35" max="35" style="51" width="10"/>
    <col bestFit="1" customWidth="1" min="36" max="37" style="51" width="9.44140625"/>
    <col bestFit="1" customWidth="1" min="38" max="38" style="51" width="11.109375"/>
    <col bestFit="1" customWidth="1" min="39" max="39" style="51" width="10"/>
    <col bestFit="1" customWidth="1" min="40" max="40" style="51" width="9.44140625"/>
    <col bestFit="1" customWidth="1" min="41" max="41" style="51" width="15.109375"/>
    <col bestFit="1" customWidth="1" min="42" max="44" style="51" width="12.6640625"/>
    <col bestFit="1" customWidth="1" min="45" max="46" style="51" width="14.33203125"/>
    <col bestFit="1" customWidth="1" min="47" max="48" style="51" width="12.6640625"/>
    <col bestFit="1" customWidth="1" min="49" max="50" style="51" width="13.88671875"/>
    <col bestFit="1" customWidth="1" min="51" max="56" style="51" width="12.6640625"/>
    <col bestFit="1" customWidth="1" min="57" max="57" style="51" width="15.109375"/>
    <col bestFit="1" customWidth="1" min="58" max="58" style="51" width="11.109375"/>
    <col bestFit="1" customWidth="1" min="59" max="60" style="51" width="14.33203125"/>
    <col bestFit="1" customWidth="1" min="61" max="61" style="51" width="10.44140625"/>
    <col bestFit="1" customWidth="1" min="62" max="62" style="51" width="11.109375"/>
    <col bestFit="1" customWidth="1" min="63" max="63" style="51" width="9.33203125"/>
    <col bestFit="1" customWidth="1" min="64" max="64" style="51" width="11.109375"/>
    <col bestFit="1" customWidth="1" min="65" max="66" style="51" width="9.33203125"/>
    <col bestFit="1" customWidth="1" min="67" max="67" style="51" width="14.109375"/>
    <col bestFit="1" customWidth="1" min="68" max="68" style="51" width="9.6640625"/>
    <col bestFit="1" customWidth="1" min="69" max="69" style="51" width="8.5546875"/>
    <col bestFit="1" customWidth="1" min="70" max="70" style="51" width="11.109375"/>
    <col bestFit="1" customWidth="1" min="71" max="71" style="51" width="14.109375"/>
    <col bestFit="1" customWidth="1" min="72" max="72" style="51" width="9.6640625"/>
    <col bestFit="1" customWidth="1" min="73" max="73" style="51" width="9.44140625"/>
    <col bestFit="1" customWidth="1" min="74" max="74" style="51" width="11.109375"/>
    <col bestFit="1" customWidth="1" min="75" max="75" style="51" width="14.109375"/>
    <col bestFit="1" customWidth="1" min="76" max="76" style="51" width="10.88671875"/>
    <col bestFit="1" customWidth="1" min="77" max="77" style="51" width="9.44140625"/>
    <col bestFit="1" customWidth="1" min="78" max="78" style="51" width="11.109375"/>
    <col bestFit="1" customWidth="1" min="79" max="79" style="51" width="14.109375"/>
    <col bestFit="1" customWidth="1" min="80" max="80" style="51" width="10.88671875"/>
    <col bestFit="1" customWidth="1" min="81" max="81" style="51" width="15.109375"/>
    <col bestFit="1" customWidth="1" min="82" max="82" style="51" width="11.109375"/>
    <col bestFit="1" customWidth="1" min="83" max="84" style="51" width="14.33203125"/>
    <col bestFit="1" customWidth="1" min="85" max="85" style="51" width="10.44140625"/>
    <col bestFit="1" customWidth="1" min="86" max="86" style="51" width="11.109375"/>
    <col bestFit="1" customWidth="1" min="87" max="87" style="51" width="9.33203125"/>
    <col bestFit="1" customWidth="1" min="88" max="88" style="51" width="11.109375"/>
    <col min="89" max="16384" style="51" width="14.44140625"/>
  </cols>
  <sheetData>
    <row r="1" s="10" customFormat="1" ht="45" customHeight="1">
      <c r="A1" s="162" t="s">
        <v>384</v>
      </c>
      <c r="B1" s="163"/>
      <c r="D1" s="13"/>
      <c r="E1" s="164"/>
      <c r="H1" s="15"/>
      <c r="I1" s="15"/>
      <c r="J1" s="15"/>
      <c r="K1" s="15"/>
      <c r="L1" s="15"/>
      <c r="M1" s="15"/>
      <c r="N1" s="15"/>
      <c r="O1" s="15"/>
      <c r="P1" s="15"/>
      <c r="Q1" s="15"/>
      <c r="R1" s="15"/>
      <c r="S1" s="15"/>
      <c r="T1" s="14"/>
      <c r="U1" s="15"/>
      <c r="V1" s="15"/>
      <c r="W1" s="165" t="s">
        <v>385</v>
      </c>
      <c r="X1" s="165"/>
      <c r="Y1" s="14" t="s">
        <v>2</v>
      </c>
      <c r="Z1" s="14"/>
      <c r="AA1" s="14"/>
      <c r="AB1" s="14"/>
      <c r="AC1" s="14"/>
      <c r="AD1" s="14"/>
      <c r="AE1" s="14"/>
      <c r="AF1" s="14"/>
      <c r="AG1" s="14"/>
      <c r="AH1" s="14"/>
      <c r="AI1" s="14"/>
      <c r="AJ1" s="14"/>
      <c r="AK1" s="14"/>
      <c r="AL1" s="14"/>
      <c r="AM1" s="14"/>
      <c r="AN1" s="14"/>
      <c r="AO1" s="18" t="s">
        <v>3</v>
      </c>
      <c r="AP1" s="18"/>
      <c r="AQ1" s="18"/>
      <c r="AR1" s="18"/>
      <c r="AS1" s="18"/>
      <c r="AT1" s="18"/>
      <c r="AU1" s="18"/>
      <c r="AV1" s="18"/>
      <c r="AW1" s="18"/>
      <c r="AX1" s="18"/>
      <c r="AY1" s="18"/>
      <c r="AZ1" s="18"/>
      <c r="BA1" s="18"/>
      <c r="BB1" s="18"/>
      <c r="BC1" s="18"/>
      <c r="BD1" s="18"/>
      <c r="BE1" s="18" t="s">
        <v>4</v>
      </c>
      <c r="BF1" s="18"/>
      <c r="BG1" s="18"/>
      <c r="BH1" s="18"/>
      <c r="BI1" s="18"/>
      <c r="BJ1" s="18"/>
      <c r="BK1" s="18"/>
      <c r="BL1" s="18"/>
      <c r="BM1" s="18" t="s">
        <v>3</v>
      </c>
      <c r="BN1" s="18"/>
      <c r="BO1" s="18"/>
      <c r="BP1" s="18"/>
      <c r="BQ1" s="18"/>
      <c r="BR1" s="18"/>
      <c r="BS1" s="18"/>
      <c r="BT1" s="18"/>
      <c r="BU1" s="18"/>
      <c r="BV1" s="18"/>
      <c r="BW1" s="18"/>
      <c r="BX1" s="18"/>
      <c r="BY1" s="18"/>
      <c r="BZ1" s="18"/>
      <c r="CA1" s="18"/>
      <c r="CB1" s="18"/>
      <c r="CC1" s="18" t="s">
        <v>4</v>
      </c>
      <c r="CD1" s="18"/>
      <c r="CE1" s="18"/>
      <c r="CF1" s="18"/>
      <c r="CG1" s="18"/>
      <c r="CH1" s="18"/>
      <c r="CI1" s="18"/>
      <c r="CJ1" s="18"/>
    </row>
    <row r="2" s="166" customFormat="1" ht="55.5" customHeight="1">
      <c r="A2" s="166" t="s">
        <v>6</v>
      </c>
      <c r="B2" s="166" t="s">
        <v>5</v>
      </c>
      <c r="C2" s="166" t="s">
        <v>7</v>
      </c>
      <c r="D2" s="167" t="s">
        <v>8</v>
      </c>
      <c r="E2" s="168" t="s">
        <v>9</v>
      </c>
      <c r="I2" s="169" t="s">
        <v>10</v>
      </c>
      <c r="J2" s="169"/>
      <c r="K2" s="169"/>
      <c r="L2" s="169" t="s">
        <v>11</v>
      </c>
      <c r="M2" s="169"/>
      <c r="N2" s="169"/>
      <c r="O2" s="169"/>
      <c r="R2" s="167"/>
      <c r="T2" s="169"/>
      <c r="W2" s="166" t="s">
        <v>12</v>
      </c>
      <c r="X2" s="166" t="s">
        <v>13</v>
      </c>
      <c r="Y2" s="169" t="s">
        <v>14</v>
      </c>
      <c r="Z2" s="169" t="s">
        <v>14</v>
      </c>
      <c r="AA2" s="169" t="s">
        <v>14</v>
      </c>
      <c r="AB2" s="169" t="s">
        <v>14</v>
      </c>
      <c r="AC2" s="169" t="s">
        <v>14</v>
      </c>
      <c r="AD2" s="169" t="s">
        <v>14</v>
      </c>
      <c r="AE2" s="169" t="s">
        <v>14</v>
      </c>
      <c r="AF2" s="169" t="s">
        <v>14</v>
      </c>
      <c r="AG2" s="169" t="s">
        <v>14</v>
      </c>
      <c r="AH2" s="169" t="s">
        <v>14</v>
      </c>
      <c r="AI2" s="169" t="s">
        <v>14</v>
      </c>
      <c r="AJ2" s="169" t="s">
        <v>14</v>
      </c>
      <c r="AK2" s="169" t="s">
        <v>14</v>
      </c>
      <c r="AL2" s="169" t="s">
        <v>14</v>
      </c>
      <c r="AM2" s="169" t="s">
        <v>14</v>
      </c>
      <c r="AN2" s="169" t="s">
        <v>14</v>
      </c>
      <c r="AO2" s="170" t="s">
        <v>16</v>
      </c>
      <c r="AP2" s="170" t="s">
        <v>16</v>
      </c>
      <c r="AQ2" s="170" t="s">
        <v>16</v>
      </c>
      <c r="AR2" s="170" t="s">
        <v>16</v>
      </c>
      <c r="AS2" s="170" t="s">
        <v>16</v>
      </c>
      <c r="AT2" s="170" t="s">
        <v>16</v>
      </c>
      <c r="AU2" s="170" t="s">
        <v>16</v>
      </c>
      <c r="AV2" s="170" t="s">
        <v>16</v>
      </c>
      <c r="AW2" s="170" t="s">
        <v>16</v>
      </c>
      <c r="AX2" s="170" t="s">
        <v>16</v>
      </c>
      <c r="AY2" s="170" t="s">
        <v>16</v>
      </c>
      <c r="AZ2" s="170" t="s">
        <v>16</v>
      </c>
      <c r="BA2" s="170" t="s">
        <v>16</v>
      </c>
      <c r="BB2" s="170" t="s">
        <v>16</v>
      </c>
      <c r="BC2" s="170" t="s">
        <v>16</v>
      </c>
      <c r="BD2" s="170" t="s">
        <v>16</v>
      </c>
      <c r="BE2" s="170" t="s">
        <v>17</v>
      </c>
      <c r="BF2" s="170" t="s">
        <v>17</v>
      </c>
      <c r="BG2" s="170" t="s">
        <v>17</v>
      </c>
      <c r="BH2" s="170" t="s">
        <v>17</v>
      </c>
      <c r="BI2" s="170" t="s">
        <v>17</v>
      </c>
      <c r="BJ2" s="170" t="s">
        <v>17</v>
      </c>
      <c r="BK2" s="170" t="s">
        <v>17</v>
      </c>
      <c r="BL2" s="170" t="s">
        <v>17</v>
      </c>
      <c r="BM2" s="170" t="s">
        <v>18</v>
      </c>
      <c r="BN2" s="170" t="s">
        <v>18</v>
      </c>
      <c r="BO2" s="170" t="s">
        <v>18</v>
      </c>
      <c r="BP2" s="170" t="s">
        <v>18</v>
      </c>
      <c r="BQ2" s="170" t="s">
        <v>18</v>
      </c>
      <c r="BR2" s="170" t="s">
        <v>18</v>
      </c>
      <c r="BS2" s="170" t="s">
        <v>18</v>
      </c>
      <c r="BT2" s="170" t="s">
        <v>18</v>
      </c>
      <c r="BU2" s="170" t="s">
        <v>18</v>
      </c>
      <c r="BV2" s="170" t="s">
        <v>18</v>
      </c>
      <c r="BW2" s="170" t="s">
        <v>18</v>
      </c>
      <c r="BX2" s="170" t="s">
        <v>18</v>
      </c>
      <c r="BY2" s="170" t="s">
        <v>18</v>
      </c>
      <c r="BZ2" s="170" t="s">
        <v>18</v>
      </c>
      <c r="CA2" s="170" t="s">
        <v>18</v>
      </c>
      <c r="CB2" s="170" t="s">
        <v>18</v>
      </c>
      <c r="CC2" s="170" t="s">
        <v>19</v>
      </c>
      <c r="CD2" s="170" t="s">
        <v>19</v>
      </c>
      <c r="CE2" s="170" t="s">
        <v>19</v>
      </c>
      <c r="CF2" s="170" t="s">
        <v>19</v>
      </c>
      <c r="CG2" s="170" t="s">
        <v>19</v>
      </c>
      <c r="CH2" s="170" t="s">
        <v>19</v>
      </c>
      <c r="CI2" s="170" t="s">
        <v>19</v>
      </c>
      <c r="CJ2" s="170" t="s">
        <v>19</v>
      </c>
    </row>
    <row r="3" s="27" customFormat="1" ht="61.5" customHeight="1">
      <c r="A3" s="171" t="s">
        <v>21</v>
      </c>
      <c r="B3" s="27" t="s">
        <v>386</v>
      </c>
      <c r="C3" s="27" t="s">
        <v>31</v>
      </c>
      <c r="D3" s="172" t="s">
        <v>387</v>
      </c>
      <c r="E3" s="173" t="s">
        <v>388</v>
      </c>
      <c r="F3" s="27" t="s">
        <v>40</v>
      </c>
      <c r="G3" s="27" t="s">
        <v>41</v>
      </c>
      <c r="H3" s="27" t="s">
        <v>42</v>
      </c>
      <c r="I3" s="32" t="s">
        <v>43</v>
      </c>
      <c r="J3" s="32" t="s">
        <v>44</v>
      </c>
      <c r="K3" s="32" t="s">
        <v>45</v>
      </c>
      <c r="L3" s="32" t="s">
        <v>43</v>
      </c>
      <c r="M3" s="32" t="s">
        <v>389</v>
      </c>
      <c r="N3" s="32" t="s">
        <v>45</v>
      </c>
      <c r="O3" s="32" t="s">
        <v>46</v>
      </c>
      <c r="P3" s="32" t="s">
        <v>47</v>
      </c>
      <c r="Q3" s="32" t="s">
        <v>48</v>
      </c>
      <c r="R3" s="31" t="s">
        <v>49</v>
      </c>
      <c r="S3" s="32" t="s">
        <v>54</v>
      </c>
      <c r="T3" s="33" t="s">
        <v>56</v>
      </c>
      <c r="U3" s="32" t="s">
        <v>57</v>
      </c>
      <c r="V3" s="32" t="s">
        <v>58</v>
      </c>
      <c r="W3" s="27" t="s">
        <v>59</v>
      </c>
      <c r="X3" s="27" t="s">
        <v>390</v>
      </c>
      <c r="Y3" s="32" t="s">
        <v>61</v>
      </c>
      <c r="Z3" s="32" t="s">
        <v>62</v>
      </c>
      <c r="AA3" s="27" t="s">
        <v>391</v>
      </c>
      <c r="AB3" s="27" t="s">
        <v>392</v>
      </c>
      <c r="AC3" s="32" t="s">
        <v>66</v>
      </c>
      <c r="AD3" s="32" t="s">
        <v>67</v>
      </c>
      <c r="AE3" s="27" t="s">
        <v>391</v>
      </c>
      <c r="AF3" s="27" t="s">
        <v>392</v>
      </c>
      <c r="AG3" s="32" t="s">
        <v>78</v>
      </c>
      <c r="AH3" s="32" t="s">
        <v>68</v>
      </c>
      <c r="AI3" s="27" t="s">
        <v>391</v>
      </c>
      <c r="AJ3" s="27" t="s">
        <v>392</v>
      </c>
      <c r="AK3" s="32" t="s">
        <v>69</v>
      </c>
      <c r="AL3" s="32" t="s">
        <v>70</v>
      </c>
      <c r="AM3" s="27" t="s">
        <v>391</v>
      </c>
      <c r="AN3" s="27" t="s">
        <v>392</v>
      </c>
      <c r="AO3" s="36" t="s">
        <v>61</v>
      </c>
      <c r="AP3" s="36" t="s">
        <v>62</v>
      </c>
      <c r="AQ3" s="36" t="s">
        <v>76</v>
      </c>
      <c r="AR3" s="36" t="s">
        <v>77</v>
      </c>
      <c r="AS3" s="36" t="s">
        <v>66</v>
      </c>
      <c r="AT3" s="36" t="s">
        <v>67</v>
      </c>
      <c r="AU3" s="36" t="s">
        <v>76</v>
      </c>
      <c r="AV3" s="36" t="s">
        <v>77</v>
      </c>
      <c r="AW3" s="36" t="s">
        <v>78</v>
      </c>
      <c r="AX3" s="36" t="s">
        <v>68</v>
      </c>
      <c r="AY3" s="36" t="s">
        <v>76</v>
      </c>
      <c r="AZ3" s="36" t="s">
        <v>77</v>
      </c>
      <c r="BA3" s="36" t="s">
        <v>69</v>
      </c>
      <c r="BB3" s="36" t="s">
        <v>70</v>
      </c>
      <c r="BC3" s="36" t="s">
        <v>76</v>
      </c>
      <c r="BD3" s="36" t="s">
        <v>77</v>
      </c>
      <c r="BE3" s="36" t="s">
        <v>61</v>
      </c>
      <c r="BF3" s="36" t="s">
        <v>62</v>
      </c>
      <c r="BG3" s="36" t="s">
        <v>66</v>
      </c>
      <c r="BH3" s="36" t="s">
        <v>67</v>
      </c>
      <c r="BI3" s="36" t="s">
        <v>78</v>
      </c>
      <c r="BJ3" s="36" t="s">
        <v>68</v>
      </c>
      <c r="BK3" s="36" t="s">
        <v>69</v>
      </c>
      <c r="BL3" s="36" t="s">
        <v>70</v>
      </c>
      <c r="BM3" s="36" t="s">
        <v>61</v>
      </c>
      <c r="BN3" s="36" t="s">
        <v>62</v>
      </c>
      <c r="BO3" s="36" t="s">
        <v>76</v>
      </c>
      <c r="BP3" s="36" t="s">
        <v>77</v>
      </c>
      <c r="BQ3" s="36" t="s">
        <v>66</v>
      </c>
      <c r="BR3" s="36" t="s">
        <v>67</v>
      </c>
      <c r="BS3" s="36" t="s">
        <v>76</v>
      </c>
      <c r="BT3" s="36" t="s">
        <v>77</v>
      </c>
      <c r="BU3" s="36" t="s">
        <v>78</v>
      </c>
      <c r="BV3" s="36" t="s">
        <v>68</v>
      </c>
      <c r="BW3" s="36" t="s">
        <v>76</v>
      </c>
      <c r="BX3" s="36" t="s">
        <v>77</v>
      </c>
      <c r="BY3" s="36" t="s">
        <v>69</v>
      </c>
      <c r="BZ3" s="36" t="s">
        <v>70</v>
      </c>
      <c r="CA3" s="36" t="s">
        <v>76</v>
      </c>
      <c r="CB3" s="36" t="s">
        <v>77</v>
      </c>
      <c r="CC3" s="36" t="s">
        <v>61</v>
      </c>
      <c r="CD3" s="36" t="s">
        <v>62</v>
      </c>
      <c r="CE3" s="36" t="s">
        <v>66</v>
      </c>
      <c r="CF3" s="36" t="s">
        <v>67</v>
      </c>
      <c r="CG3" s="36" t="s">
        <v>78</v>
      </c>
      <c r="CH3" s="36" t="s">
        <v>68</v>
      </c>
      <c r="CI3" s="36" t="s">
        <v>69</v>
      </c>
      <c r="CJ3" s="36" t="s">
        <v>70</v>
      </c>
    </row>
    <row r="4" ht="15.75" customHeight="1">
      <c r="A4" s="51" t="s">
        <v>84</v>
      </c>
      <c r="B4" s="51" t="s">
        <v>89</v>
      </c>
      <c r="C4" s="51" t="s">
        <v>393</v>
      </c>
      <c r="D4" s="174" t="s">
        <v>394</v>
      </c>
      <c r="E4" s="161" t="s">
        <v>394</v>
      </c>
      <c r="F4" s="51" t="s">
        <v>91</v>
      </c>
      <c r="I4" s="51" t="s">
        <v>395</v>
      </c>
      <c r="J4" s="51" t="s">
        <v>396</v>
      </c>
      <c r="O4" s="51" t="s">
        <v>397</v>
      </c>
      <c r="W4" s="175">
        <v>4.5</v>
      </c>
      <c r="Y4" s="62">
        <f t="shared" ref="Y4:Z56" si="48">AO4+(AO4*BE4/100)+BM4+(BM4*CC4/100)</f>
        <v>0</v>
      </c>
      <c r="Z4" s="62">
        <f t="shared" si="48"/>
        <v>33.839999999999996</v>
      </c>
      <c r="AA4" s="62"/>
      <c r="AB4" s="62"/>
      <c r="AC4" s="62">
        <f t="shared" ref="AC4:AD56" si="49">AS4+(AS4*BG4/100)+BQ4+(BQ4*CE4/100)</f>
        <v>0</v>
      </c>
      <c r="AD4" s="62">
        <f t="shared" si="49"/>
        <v>33.839999999999996</v>
      </c>
      <c r="AE4" s="62"/>
      <c r="AF4" s="62"/>
      <c r="AG4" s="62">
        <f t="shared" ref="AG4:AH56" si="50">AW4+(AW4*BI4/100)+BU4+(BU4*CG4/100)</f>
        <v>0</v>
      </c>
      <c r="AH4" s="62">
        <f t="shared" si="50"/>
        <v>33.839999999999996</v>
      </c>
      <c r="AI4" s="62"/>
      <c r="AJ4" s="62"/>
      <c r="AK4" s="62">
        <f t="shared" ref="AK4:AL56" si="51">BA4+(BA4*BK4/100)+BY4+(BY4*CI4/100)</f>
        <v>0</v>
      </c>
      <c r="AL4" s="62">
        <f t="shared" si="51"/>
        <v>33.839999999999996</v>
      </c>
      <c r="AO4" s="62"/>
      <c r="AP4" s="62"/>
      <c r="AS4" s="62"/>
      <c r="AT4" s="62"/>
      <c r="AW4" s="62"/>
      <c r="AX4" s="62"/>
      <c r="BA4" s="62"/>
      <c r="BB4" s="62"/>
      <c r="BE4" s="62"/>
      <c r="BF4" s="62"/>
      <c r="BG4" s="62"/>
      <c r="BH4" s="62"/>
      <c r="BI4" s="62"/>
      <c r="BJ4" s="62"/>
      <c r="BK4" s="62"/>
      <c r="BL4" s="62"/>
      <c r="BM4" s="62"/>
      <c r="BN4" s="62">
        <v>14.1</v>
      </c>
      <c r="BO4" s="62" t="s">
        <v>398</v>
      </c>
      <c r="BP4" s="62"/>
      <c r="BQ4" s="62"/>
      <c r="BR4" s="62">
        <v>14.1</v>
      </c>
      <c r="BS4" s="62" t="s">
        <v>398</v>
      </c>
      <c r="BT4" s="62"/>
      <c r="BU4" s="62"/>
      <c r="BV4" s="62">
        <v>14.1</v>
      </c>
      <c r="BW4" s="62" t="s">
        <v>398</v>
      </c>
      <c r="BX4" s="62"/>
      <c r="BY4" s="62"/>
      <c r="BZ4" s="62">
        <v>14.1</v>
      </c>
      <c r="CA4" s="62" t="s">
        <v>398</v>
      </c>
      <c r="CB4" s="62"/>
      <c r="CC4" s="62">
        <v>140</v>
      </c>
      <c r="CD4" s="62">
        <v>140</v>
      </c>
      <c r="CE4" s="62">
        <v>140</v>
      </c>
      <c r="CF4" s="62">
        <v>140</v>
      </c>
      <c r="CG4" s="62">
        <v>140</v>
      </c>
      <c r="CH4" s="62">
        <v>140</v>
      </c>
      <c r="CI4" s="62">
        <v>140</v>
      </c>
      <c r="CJ4" s="62">
        <v>140</v>
      </c>
    </row>
    <row r="5" ht="15.75" customHeight="1">
      <c r="A5" s="51" t="s">
        <v>84</v>
      </c>
      <c r="B5" s="51" t="s">
        <v>89</v>
      </c>
      <c r="C5" s="51" t="s">
        <v>399</v>
      </c>
      <c r="D5" s="174" t="s">
        <v>394</v>
      </c>
      <c r="E5" s="161" t="s">
        <v>394</v>
      </c>
      <c r="F5" s="51" t="s">
        <v>91</v>
      </c>
      <c r="I5" s="51" t="s">
        <v>395</v>
      </c>
      <c r="J5" s="51" t="s">
        <v>396</v>
      </c>
      <c r="O5" s="51" t="s">
        <v>400</v>
      </c>
      <c r="P5" s="51" t="s">
        <v>401</v>
      </c>
      <c r="Q5" s="51" t="s">
        <v>397</v>
      </c>
      <c r="T5" s="106" t="s">
        <v>174</v>
      </c>
      <c r="W5" s="175">
        <v>4.5</v>
      </c>
      <c r="Y5" s="62">
        <f t="shared" si="48"/>
        <v>93.599999999999994</v>
      </c>
      <c r="Z5" s="62">
        <f t="shared" si="48"/>
        <v>72.719999999999999</v>
      </c>
      <c r="AA5" s="62"/>
      <c r="AB5" s="62"/>
      <c r="AC5" s="62">
        <f t="shared" si="49"/>
        <v>96.719999999999999</v>
      </c>
      <c r="AD5" s="62">
        <f t="shared" si="49"/>
        <v>59.039999999999999</v>
      </c>
      <c r="AE5" s="62"/>
      <c r="AF5" s="62"/>
      <c r="AG5" s="62">
        <f t="shared" si="50"/>
        <v>240.23999999999998</v>
      </c>
      <c r="AH5" s="62">
        <f t="shared" si="50"/>
        <v>48.959999999999994</v>
      </c>
      <c r="AI5" s="62"/>
      <c r="AJ5" s="62"/>
      <c r="AK5" s="62">
        <f t="shared" si="51"/>
        <v>562.56000000000006</v>
      </c>
      <c r="AL5" s="62">
        <f t="shared" si="51"/>
        <v>44.879999999999995</v>
      </c>
      <c r="BM5" s="62">
        <v>39</v>
      </c>
      <c r="BN5" s="62">
        <v>30.300000000000001</v>
      </c>
      <c r="BO5" s="62" t="s">
        <v>175</v>
      </c>
      <c r="BQ5" s="62">
        <v>40.299999999999997</v>
      </c>
      <c r="BR5" s="62">
        <v>24.600000000000001</v>
      </c>
      <c r="BS5" s="62" t="s">
        <v>175</v>
      </c>
      <c r="BT5" s="62"/>
      <c r="BU5" s="62">
        <v>100.09999999999999</v>
      </c>
      <c r="BV5" s="62">
        <v>20.399999999999999</v>
      </c>
      <c r="BW5" s="62" t="s">
        <v>175</v>
      </c>
      <c r="BX5" s="62"/>
      <c r="BY5" s="62">
        <v>234.40000000000001</v>
      </c>
      <c r="BZ5" s="62">
        <v>18.699999999999999</v>
      </c>
      <c r="CA5" s="62" t="s">
        <v>175</v>
      </c>
      <c r="CB5" s="62" t="s">
        <v>402</v>
      </c>
      <c r="CC5" s="62">
        <v>140</v>
      </c>
      <c r="CD5" s="62">
        <v>140</v>
      </c>
      <c r="CE5" s="62">
        <v>140</v>
      </c>
      <c r="CF5" s="62">
        <v>140</v>
      </c>
      <c r="CG5" s="62">
        <v>140</v>
      </c>
      <c r="CH5" s="62">
        <v>140</v>
      </c>
      <c r="CI5" s="62">
        <v>140</v>
      </c>
      <c r="CJ5" s="62">
        <v>140</v>
      </c>
    </row>
    <row r="6" ht="15.75" customHeight="1">
      <c r="A6" s="51" t="s">
        <v>84</v>
      </c>
      <c r="B6" s="51" t="s">
        <v>89</v>
      </c>
      <c r="C6" s="51" t="s">
        <v>403</v>
      </c>
      <c r="D6" s="174" t="s">
        <v>394</v>
      </c>
      <c r="E6" s="161" t="s">
        <v>394</v>
      </c>
      <c r="F6" s="51" t="s">
        <v>91</v>
      </c>
      <c r="I6" s="51" t="s">
        <v>395</v>
      </c>
      <c r="J6" s="51" t="s">
        <v>396</v>
      </c>
      <c r="O6" s="51" t="s">
        <v>404</v>
      </c>
      <c r="P6" s="51" t="s">
        <v>401</v>
      </c>
      <c r="Q6" s="51" t="s">
        <v>401</v>
      </c>
      <c r="T6" s="106" t="s">
        <v>174</v>
      </c>
      <c r="W6" s="175">
        <v>4.5</v>
      </c>
      <c r="Y6" s="62">
        <f t="shared" si="48"/>
        <v>102.96000000000001</v>
      </c>
      <c r="Z6" s="62">
        <f t="shared" si="48"/>
        <v>79.919999999999987</v>
      </c>
      <c r="AA6" s="62"/>
      <c r="AB6" s="62"/>
      <c r="AC6" s="62">
        <f t="shared" si="49"/>
        <v>105.59999999999999</v>
      </c>
      <c r="AD6" s="62">
        <f t="shared" si="49"/>
        <v>65.039999999999992</v>
      </c>
      <c r="AE6" s="62"/>
      <c r="AF6" s="62"/>
      <c r="AG6" s="62">
        <f t="shared" si="50"/>
        <v>259.92000000000002</v>
      </c>
      <c r="AH6" s="62">
        <f t="shared" si="50"/>
        <v>54</v>
      </c>
      <c r="AI6" s="62"/>
      <c r="AJ6" s="62"/>
      <c r="AK6" s="62">
        <f t="shared" si="51"/>
        <v>613.92000000000007</v>
      </c>
      <c r="AL6" s="62">
        <f t="shared" si="51"/>
        <v>49.439999999999998</v>
      </c>
      <c r="BM6" s="62">
        <v>42.899999999999999</v>
      </c>
      <c r="BN6" s="62">
        <v>33.299999999999997</v>
      </c>
      <c r="BO6" s="62" t="s">
        <v>175</v>
      </c>
      <c r="BQ6" s="62">
        <v>44</v>
      </c>
      <c r="BR6" s="62">
        <v>27.100000000000001</v>
      </c>
      <c r="BS6" s="62" t="s">
        <v>175</v>
      </c>
      <c r="BT6" s="62"/>
      <c r="BU6" s="62">
        <v>108.3</v>
      </c>
      <c r="BV6" s="62">
        <v>22.5</v>
      </c>
      <c r="BW6" s="62" t="s">
        <v>175</v>
      </c>
      <c r="BX6" s="62"/>
      <c r="BY6" s="62">
        <v>255.80000000000001</v>
      </c>
      <c r="BZ6" s="62">
        <v>20.600000000000001</v>
      </c>
      <c r="CA6" s="62" t="s">
        <v>175</v>
      </c>
      <c r="CB6" s="62"/>
      <c r="CC6" s="62">
        <v>140</v>
      </c>
      <c r="CD6" s="62">
        <v>140</v>
      </c>
      <c r="CE6" s="62">
        <v>140</v>
      </c>
      <c r="CF6" s="62">
        <v>140</v>
      </c>
      <c r="CG6" s="62">
        <v>140</v>
      </c>
      <c r="CH6" s="62">
        <v>140</v>
      </c>
      <c r="CI6" s="62">
        <v>140</v>
      </c>
      <c r="CJ6" s="62">
        <v>140</v>
      </c>
    </row>
    <row r="7" ht="15.75" customHeight="1">
      <c r="A7" s="51" t="s">
        <v>84</v>
      </c>
      <c r="B7" s="51" t="s">
        <v>89</v>
      </c>
      <c r="C7" s="51" t="s">
        <v>405</v>
      </c>
      <c r="D7" s="174" t="s">
        <v>394</v>
      </c>
      <c r="E7" s="161" t="s">
        <v>394</v>
      </c>
      <c r="F7" s="51" t="s">
        <v>91</v>
      </c>
      <c r="I7" s="51" t="s">
        <v>395</v>
      </c>
      <c r="J7" s="51" t="s">
        <v>396</v>
      </c>
      <c r="O7" s="51" t="s">
        <v>406</v>
      </c>
      <c r="P7" s="51" t="s">
        <v>171</v>
      </c>
      <c r="Q7" s="51" t="s">
        <v>397</v>
      </c>
      <c r="T7" s="106" t="s">
        <v>174</v>
      </c>
      <c r="W7" s="175">
        <v>4.5</v>
      </c>
      <c r="Y7" s="62">
        <f t="shared" si="48"/>
        <v>90.960000000000008</v>
      </c>
      <c r="Z7" s="62">
        <f t="shared" si="48"/>
        <v>90.719999999999999</v>
      </c>
      <c r="AA7" s="62"/>
      <c r="AB7" s="62"/>
      <c r="AC7" s="62">
        <f t="shared" si="49"/>
        <v>89.280000000000001</v>
      </c>
      <c r="AD7" s="62">
        <f t="shared" si="49"/>
        <v>78.719999999999999</v>
      </c>
      <c r="AE7" s="62"/>
      <c r="AF7" s="62"/>
      <c r="AG7" s="62">
        <f t="shared" si="50"/>
        <v>397.19999999999999</v>
      </c>
      <c r="AH7" s="62">
        <f t="shared" si="50"/>
        <v>63.120000000000005</v>
      </c>
      <c r="AI7" s="62"/>
      <c r="AJ7" s="62"/>
      <c r="AK7" s="62">
        <f t="shared" si="51"/>
        <v>683.75999999999999</v>
      </c>
      <c r="AL7" s="62">
        <f t="shared" si="51"/>
        <v>55.440000000000005</v>
      </c>
      <c r="BM7" s="104">
        <v>37.899999999999999</v>
      </c>
      <c r="BN7" s="104">
        <v>37.799999999999997</v>
      </c>
      <c r="BO7" s="104" t="s">
        <v>175</v>
      </c>
      <c r="BP7" s="58"/>
      <c r="BQ7" s="104">
        <v>37.200000000000003</v>
      </c>
      <c r="BR7" s="104">
        <v>32.799999999999997</v>
      </c>
      <c r="BS7" s="104" t="s">
        <v>175</v>
      </c>
      <c r="BT7" s="104"/>
      <c r="BU7" s="104">
        <v>165.5</v>
      </c>
      <c r="BV7" s="104">
        <v>26.300000000000001</v>
      </c>
      <c r="BW7" s="104" t="s">
        <v>175</v>
      </c>
      <c r="BX7" s="104"/>
      <c r="BY7" s="104">
        <v>284.89999999999998</v>
      </c>
      <c r="BZ7" s="104">
        <v>23.100000000000001</v>
      </c>
      <c r="CA7" s="104" t="s">
        <v>175</v>
      </c>
      <c r="CB7" s="62"/>
      <c r="CC7" s="62">
        <v>140</v>
      </c>
      <c r="CD7" s="62">
        <v>140</v>
      </c>
      <c r="CE7" s="62">
        <v>140</v>
      </c>
      <c r="CF7" s="62">
        <v>140</v>
      </c>
      <c r="CG7" s="62">
        <v>140</v>
      </c>
      <c r="CH7" s="62">
        <v>140</v>
      </c>
      <c r="CI7" s="62">
        <v>140</v>
      </c>
      <c r="CJ7" s="62">
        <v>140</v>
      </c>
    </row>
    <row r="8" ht="15.75" customHeight="1">
      <c r="A8" s="51" t="s">
        <v>84</v>
      </c>
      <c r="B8" s="51" t="s">
        <v>89</v>
      </c>
      <c r="C8" s="51" t="s">
        <v>407</v>
      </c>
      <c r="D8" s="174" t="s">
        <v>394</v>
      </c>
      <c r="E8" s="161" t="s">
        <v>394</v>
      </c>
      <c r="F8" s="51" t="s">
        <v>91</v>
      </c>
      <c r="I8" s="51" t="s">
        <v>395</v>
      </c>
      <c r="J8" s="51" t="s">
        <v>396</v>
      </c>
      <c r="O8" s="51" t="s">
        <v>408</v>
      </c>
      <c r="P8" s="51" t="s">
        <v>171</v>
      </c>
      <c r="Q8" s="51" t="s">
        <v>171</v>
      </c>
      <c r="T8" s="106" t="s">
        <v>174</v>
      </c>
      <c r="W8" s="175">
        <v>4.5</v>
      </c>
      <c r="Y8" s="62">
        <f t="shared" si="48"/>
        <v>90.960000000000008</v>
      </c>
      <c r="Z8" s="62">
        <f t="shared" si="48"/>
        <v>90.719999999999999</v>
      </c>
      <c r="AA8" s="62"/>
      <c r="AB8" s="62"/>
      <c r="AC8" s="62">
        <f t="shared" si="49"/>
        <v>89.280000000000001</v>
      </c>
      <c r="AD8" s="62">
        <f t="shared" si="49"/>
        <v>78.719999999999999</v>
      </c>
      <c r="AE8" s="62"/>
      <c r="AF8" s="62"/>
      <c r="AG8" s="62">
        <f t="shared" si="50"/>
        <v>252</v>
      </c>
      <c r="AH8" s="62">
        <f t="shared" si="50"/>
        <v>69.599999999999994</v>
      </c>
      <c r="AI8" s="62"/>
      <c r="AJ8" s="62"/>
      <c r="AK8" s="62">
        <f t="shared" si="51"/>
        <v>576</v>
      </c>
      <c r="AL8" s="62">
        <f t="shared" si="51"/>
        <v>68.400000000000006</v>
      </c>
      <c r="BM8" s="104">
        <v>37.899999999999999</v>
      </c>
      <c r="BN8" s="104">
        <v>37.799999999999997</v>
      </c>
      <c r="BO8" s="104" t="s">
        <v>175</v>
      </c>
      <c r="BP8" s="58"/>
      <c r="BQ8" s="104">
        <v>37.200000000000003</v>
      </c>
      <c r="BR8" s="104">
        <v>32.799999999999997</v>
      </c>
      <c r="BS8" s="104" t="s">
        <v>175</v>
      </c>
      <c r="BT8" s="104"/>
      <c r="BU8" s="104">
        <v>105</v>
      </c>
      <c r="BV8" s="104">
        <v>29</v>
      </c>
      <c r="BW8" s="104" t="s">
        <v>175</v>
      </c>
      <c r="BX8" s="104"/>
      <c r="BY8" s="104">
        <v>240</v>
      </c>
      <c r="BZ8" s="104">
        <v>28.5</v>
      </c>
      <c r="CA8" s="104" t="s">
        <v>175</v>
      </c>
      <c r="CB8" s="62"/>
      <c r="CC8" s="62">
        <v>140</v>
      </c>
      <c r="CD8" s="62">
        <v>140</v>
      </c>
      <c r="CE8" s="62">
        <v>140</v>
      </c>
      <c r="CF8" s="62">
        <v>140</v>
      </c>
      <c r="CG8" s="62">
        <v>140</v>
      </c>
      <c r="CH8" s="62">
        <v>140</v>
      </c>
      <c r="CI8" s="62">
        <v>140</v>
      </c>
      <c r="CJ8" s="62">
        <v>140</v>
      </c>
    </row>
    <row r="9" s="76" customFormat="1" ht="15.75" customHeight="1">
      <c r="A9" s="76" t="s">
        <v>409</v>
      </c>
      <c r="B9" s="76" t="s">
        <v>116</v>
      </c>
      <c r="C9" s="76" t="s">
        <v>410</v>
      </c>
      <c r="D9" s="176" t="s">
        <v>411</v>
      </c>
      <c r="E9" s="177" t="s">
        <v>411</v>
      </c>
      <c r="F9" s="76" t="s">
        <v>91</v>
      </c>
      <c r="I9" s="76" t="s">
        <v>395</v>
      </c>
      <c r="J9" s="76" t="s">
        <v>412</v>
      </c>
      <c r="O9" s="76" t="s">
        <v>397</v>
      </c>
      <c r="R9" s="77"/>
      <c r="T9" s="99"/>
      <c r="W9" s="178">
        <v>6.5999999999999996</v>
      </c>
      <c r="Y9" s="84">
        <f t="shared" si="48"/>
        <v>48</v>
      </c>
      <c r="Z9" s="84">
        <f t="shared" ref="Z9:Z56" si="52">AP9+(AP9*BF9/100)+BN9+(BN9*CD9/100)</f>
        <v>96</v>
      </c>
      <c r="AA9" s="84"/>
      <c r="AB9" s="84"/>
      <c r="AC9" s="84">
        <f t="shared" si="49"/>
        <v>96</v>
      </c>
      <c r="AD9" s="84">
        <f t="shared" ref="AD9:AD56" si="53">AT9+(AT9*BH9/100)+BR9+(BR9*CF9/100)</f>
        <v>84</v>
      </c>
      <c r="AE9" s="84"/>
      <c r="AF9" s="84"/>
      <c r="AG9" s="84">
        <f t="shared" si="50"/>
        <v>132</v>
      </c>
      <c r="AH9" s="84">
        <f t="shared" ref="AH9:AH56" si="54">AX9+(AX9*BJ9/100)+BV9+(BV9*CH9/100)</f>
        <v>81.599999999999994</v>
      </c>
      <c r="AI9" s="84"/>
      <c r="AJ9" s="84"/>
      <c r="AK9" s="84">
        <f t="shared" si="51"/>
        <v>144</v>
      </c>
      <c r="AL9" s="84">
        <f t="shared" ref="AL9:AL56" si="55">BB9+(BB9*BL9/100)+BZ9+(BZ9*CJ9/100)</f>
        <v>79.200000000000003</v>
      </c>
      <c r="BM9" s="97">
        <v>20</v>
      </c>
      <c r="BN9" s="97">
        <v>40</v>
      </c>
      <c r="BO9" s="97" t="s">
        <v>413</v>
      </c>
      <c r="BP9" s="81"/>
      <c r="BQ9" s="97">
        <v>40</v>
      </c>
      <c r="BR9" s="97">
        <v>35</v>
      </c>
      <c r="BS9" s="97" t="s">
        <v>413</v>
      </c>
      <c r="BT9" s="97"/>
      <c r="BU9" s="97">
        <v>55</v>
      </c>
      <c r="BV9" s="97">
        <v>34</v>
      </c>
      <c r="BW9" s="97" t="s">
        <v>413</v>
      </c>
      <c r="BX9" s="97"/>
      <c r="BY9" s="97">
        <v>60</v>
      </c>
      <c r="BZ9" s="97">
        <v>33</v>
      </c>
      <c r="CA9" s="97" t="s">
        <v>413</v>
      </c>
      <c r="CB9" s="84"/>
      <c r="CC9" s="84">
        <v>140</v>
      </c>
      <c r="CD9" s="84">
        <v>140</v>
      </c>
      <c r="CE9" s="84">
        <v>140</v>
      </c>
      <c r="CF9" s="84">
        <v>140</v>
      </c>
      <c r="CG9" s="84">
        <v>140</v>
      </c>
      <c r="CH9" s="84">
        <v>140</v>
      </c>
      <c r="CI9" s="84">
        <v>140</v>
      </c>
      <c r="CJ9" s="84">
        <v>140</v>
      </c>
    </row>
    <row r="10" s="76" customFormat="1" ht="15.75" customHeight="1">
      <c r="A10" s="76" t="s">
        <v>409</v>
      </c>
      <c r="B10" s="76" t="s">
        <v>116</v>
      </c>
      <c r="C10" s="76" t="s">
        <v>414</v>
      </c>
      <c r="D10" s="176" t="s">
        <v>411</v>
      </c>
      <c r="E10" s="177" t="s">
        <v>411</v>
      </c>
      <c r="F10" s="76" t="s">
        <v>91</v>
      </c>
      <c r="I10" s="76" t="s">
        <v>395</v>
      </c>
      <c r="J10" s="76" t="s">
        <v>412</v>
      </c>
      <c r="O10" s="76" t="s">
        <v>400</v>
      </c>
      <c r="P10" s="76" t="s">
        <v>401</v>
      </c>
      <c r="Q10" s="76" t="s">
        <v>397</v>
      </c>
      <c r="R10" s="77"/>
      <c r="T10" s="99" t="s">
        <v>174</v>
      </c>
      <c r="W10" s="178">
        <v>6.5999999999999996</v>
      </c>
      <c r="Y10" s="84">
        <f t="shared" si="48"/>
        <v>288</v>
      </c>
      <c r="Z10" s="84">
        <f t="shared" si="52"/>
        <v>132</v>
      </c>
      <c r="AA10" s="71"/>
      <c r="AB10" s="71"/>
      <c r="AC10" s="84">
        <f t="shared" si="49"/>
        <v>336</v>
      </c>
      <c r="AD10" s="84">
        <f t="shared" si="53"/>
        <v>93.599999999999994</v>
      </c>
      <c r="AE10" s="71"/>
      <c r="AF10" s="71"/>
      <c r="AG10" s="84">
        <f t="shared" si="50"/>
        <v>372</v>
      </c>
      <c r="AH10" s="84">
        <f t="shared" si="54"/>
        <v>96</v>
      </c>
      <c r="AI10" s="71"/>
      <c r="AJ10" s="71"/>
      <c r="AK10" s="84">
        <f t="shared" si="51"/>
        <v>600</v>
      </c>
      <c r="AL10" s="84">
        <f t="shared" si="55"/>
        <v>79.200000000000003</v>
      </c>
      <c r="AM10" s="71"/>
      <c r="AN10" s="71"/>
      <c r="BM10" s="97">
        <v>120</v>
      </c>
      <c r="BN10" s="97">
        <v>55</v>
      </c>
      <c r="BO10" s="97" t="s">
        <v>413</v>
      </c>
      <c r="BP10" s="81"/>
      <c r="BQ10" s="97">
        <v>140</v>
      </c>
      <c r="BR10" s="97">
        <v>39</v>
      </c>
      <c r="BS10" s="97" t="s">
        <v>413</v>
      </c>
      <c r="BT10" s="97"/>
      <c r="BU10" s="97">
        <v>155</v>
      </c>
      <c r="BV10" s="97">
        <v>40</v>
      </c>
      <c r="BW10" s="97" t="s">
        <v>413</v>
      </c>
      <c r="BX10" s="97"/>
      <c r="BY10" s="97">
        <v>250</v>
      </c>
      <c r="BZ10" s="97">
        <v>33</v>
      </c>
      <c r="CA10" s="97" t="s">
        <v>413</v>
      </c>
      <c r="CB10" s="84"/>
      <c r="CC10" s="84">
        <v>140</v>
      </c>
      <c r="CD10" s="84">
        <v>140</v>
      </c>
      <c r="CE10" s="84">
        <v>140</v>
      </c>
      <c r="CF10" s="84">
        <v>140</v>
      </c>
      <c r="CG10" s="84">
        <v>140</v>
      </c>
      <c r="CH10" s="84">
        <v>140</v>
      </c>
      <c r="CI10" s="84">
        <v>140</v>
      </c>
      <c r="CJ10" s="84">
        <v>140</v>
      </c>
    </row>
    <row r="11" s="76" customFormat="1" ht="15.75" customHeight="1">
      <c r="A11" s="76" t="s">
        <v>409</v>
      </c>
      <c r="B11" s="76" t="s">
        <v>116</v>
      </c>
      <c r="C11" s="76" t="s">
        <v>415</v>
      </c>
      <c r="D11" s="176" t="s">
        <v>411</v>
      </c>
      <c r="E11" s="177" t="s">
        <v>411</v>
      </c>
      <c r="F11" s="76" t="s">
        <v>91</v>
      </c>
      <c r="I11" s="76" t="s">
        <v>395</v>
      </c>
      <c r="J11" s="76" t="s">
        <v>412</v>
      </c>
      <c r="O11" s="76" t="s">
        <v>406</v>
      </c>
      <c r="P11" s="76" t="s">
        <v>171</v>
      </c>
      <c r="Q11" s="76" t="s">
        <v>397</v>
      </c>
      <c r="R11" s="77"/>
      <c r="T11" s="99" t="s">
        <v>174</v>
      </c>
      <c r="W11" s="178">
        <v>6.5999999999999996</v>
      </c>
      <c r="Y11" s="84">
        <f t="shared" si="48"/>
        <v>480</v>
      </c>
      <c r="Z11" s="84">
        <f t="shared" si="52"/>
        <v>156</v>
      </c>
      <c r="AA11" s="71"/>
      <c r="AB11" s="71"/>
      <c r="AC11" s="84">
        <f t="shared" si="49"/>
        <v>600</v>
      </c>
      <c r="AD11" s="84">
        <f t="shared" si="53"/>
        <v>104.40000000000001</v>
      </c>
      <c r="AE11" s="71"/>
      <c r="AF11" s="71"/>
      <c r="AG11" s="84">
        <f t="shared" si="50"/>
        <v>720</v>
      </c>
      <c r="AH11" s="84">
        <f t="shared" si="54"/>
        <v>103.2</v>
      </c>
      <c r="AI11" s="71"/>
      <c r="AJ11" s="71"/>
      <c r="AK11" s="84">
        <f t="shared" si="51"/>
        <v>840</v>
      </c>
      <c r="AL11" s="84">
        <f t="shared" si="55"/>
        <v>86.400000000000006</v>
      </c>
      <c r="AM11" s="71"/>
      <c r="AN11" s="71"/>
      <c r="BM11" s="97">
        <v>200</v>
      </c>
      <c r="BN11" s="97">
        <v>65</v>
      </c>
      <c r="BO11" s="97" t="s">
        <v>413</v>
      </c>
      <c r="BP11" s="81"/>
      <c r="BQ11" s="97">
        <v>250</v>
      </c>
      <c r="BR11" s="97">
        <v>43.5</v>
      </c>
      <c r="BS11" s="97" t="s">
        <v>413</v>
      </c>
      <c r="BT11" s="97"/>
      <c r="BU11" s="97">
        <v>300</v>
      </c>
      <c r="BV11" s="97">
        <v>43</v>
      </c>
      <c r="BW11" s="97" t="s">
        <v>413</v>
      </c>
      <c r="BX11" s="97"/>
      <c r="BY11" s="97">
        <v>350</v>
      </c>
      <c r="BZ11" s="97">
        <v>36</v>
      </c>
      <c r="CA11" s="97" t="s">
        <v>413</v>
      </c>
      <c r="CB11" s="84"/>
      <c r="CC11" s="84">
        <v>140</v>
      </c>
      <c r="CD11" s="84">
        <v>140</v>
      </c>
      <c r="CE11" s="84">
        <v>140</v>
      </c>
      <c r="CF11" s="84">
        <v>140</v>
      </c>
      <c r="CG11" s="84">
        <v>140</v>
      </c>
      <c r="CH11" s="84">
        <v>140</v>
      </c>
      <c r="CI11" s="84">
        <v>140</v>
      </c>
      <c r="CJ11" s="84">
        <v>140</v>
      </c>
    </row>
    <row r="12" ht="15.75" customHeight="1">
      <c r="A12" s="51" t="s">
        <v>123</v>
      </c>
      <c r="B12" s="51" t="s">
        <v>129</v>
      </c>
      <c r="C12" s="51" t="s">
        <v>416</v>
      </c>
      <c r="D12" s="174" t="s">
        <v>417</v>
      </c>
      <c r="E12" s="161" t="s">
        <v>417</v>
      </c>
      <c r="F12" s="51" t="s">
        <v>91</v>
      </c>
      <c r="I12" s="51" t="s">
        <v>395</v>
      </c>
      <c r="J12" s="51" t="s">
        <v>396</v>
      </c>
      <c r="O12" s="51" t="s">
        <v>397</v>
      </c>
      <c r="W12" s="175">
        <v>4.5</v>
      </c>
      <c r="Y12" s="62">
        <f t="shared" si="48"/>
        <v>0</v>
      </c>
      <c r="Z12" s="62">
        <f t="shared" si="52"/>
        <v>32.640000000000001</v>
      </c>
      <c r="AA12" s="62"/>
      <c r="AB12" s="62"/>
      <c r="AC12" s="62">
        <f t="shared" si="49"/>
        <v>0</v>
      </c>
      <c r="AD12" s="62">
        <f t="shared" si="53"/>
        <v>32.640000000000001</v>
      </c>
      <c r="AE12" s="62"/>
      <c r="AF12" s="62"/>
      <c r="AG12" s="62">
        <f t="shared" si="50"/>
        <v>0</v>
      </c>
      <c r="AH12" s="62">
        <f t="shared" si="54"/>
        <v>32.640000000000001</v>
      </c>
      <c r="AI12" s="62"/>
      <c r="AJ12" s="62"/>
      <c r="AK12" s="62">
        <f t="shared" si="51"/>
        <v>0</v>
      </c>
      <c r="AL12" s="62">
        <f t="shared" si="55"/>
        <v>32.640000000000001</v>
      </c>
      <c r="BM12" s="62"/>
      <c r="BN12" s="62">
        <v>13.6</v>
      </c>
      <c r="BO12" s="62" t="s">
        <v>398</v>
      </c>
      <c r="BQ12" s="62"/>
      <c r="BR12" s="62">
        <v>13.6</v>
      </c>
      <c r="BS12" s="62" t="s">
        <v>398</v>
      </c>
      <c r="BT12" s="62"/>
      <c r="BU12" s="62"/>
      <c r="BV12" s="62">
        <v>13.6</v>
      </c>
      <c r="BW12" s="62" t="s">
        <v>398</v>
      </c>
      <c r="BX12" s="62"/>
      <c r="BY12" s="62"/>
      <c r="BZ12" s="62">
        <v>13.6</v>
      </c>
      <c r="CA12" s="62" t="s">
        <v>398</v>
      </c>
      <c r="CB12" s="62"/>
      <c r="CC12" s="62">
        <v>140</v>
      </c>
      <c r="CD12" s="62">
        <v>140</v>
      </c>
      <c r="CE12" s="62">
        <v>140</v>
      </c>
      <c r="CF12" s="62">
        <v>140</v>
      </c>
      <c r="CG12" s="62">
        <v>140</v>
      </c>
      <c r="CH12" s="62">
        <v>140</v>
      </c>
      <c r="CI12" s="62">
        <v>140</v>
      </c>
      <c r="CJ12" s="62">
        <v>140</v>
      </c>
    </row>
    <row r="13" ht="15.75" customHeight="1">
      <c r="A13" s="51" t="s">
        <v>123</v>
      </c>
      <c r="B13" s="51" t="s">
        <v>129</v>
      </c>
      <c r="C13" s="51" t="s">
        <v>418</v>
      </c>
      <c r="D13" s="174" t="s">
        <v>417</v>
      </c>
      <c r="E13" s="161" t="s">
        <v>417</v>
      </c>
      <c r="F13" s="51" t="s">
        <v>91</v>
      </c>
      <c r="I13" s="51" t="s">
        <v>395</v>
      </c>
      <c r="J13" s="51" t="s">
        <v>396</v>
      </c>
      <c r="O13" s="51" t="s">
        <v>400</v>
      </c>
      <c r="P13" s="51" t="s">
        <v>401</v>
      </c>
      <c r="Q13" s="51" t="s">
        <v>397</v>
      </c>
      <c r="T13" s="106" t="s">
        <v>174</v>
      </c>
      <c r="W13" s="175">
        <v>4.5</v>
      </c>
      <c r="Y13" s="62">
        <f t="shared" si="48"/>
        <v>93.599999999999994</v>
      </c>
      <c r="Z13" s="62">
        <f t="shared" si="52"/>
        <v>72.719999999999999</v>
      </c>
      <c r="AA13" s="62"/>
      <c r="AB13" s="62"/>
      <c r="AC13" s="62">
        <f t="shared" si="49"/>
        <v>96.719999999999999</v>
      </c>
      <c r="AD13" s="62">
        <f t="shared" si="53"/>
        <v>59.039999999999999</v>
      </c>
      <c r="AE13" s="62"/>
      <c r="AF13" s="62"/>
      <c r="AG13" s="62">
        <f t="shared" si="50"/>
        <v>240.23999999999998</v>
      </c>
      <c r="AH13" s="62">
        <f t="shared" si="54"/>
        <v>48.959999999999994</v>
      </c>
      <c r="AI13" s="62"/>
      <c r="AJ13" s="62"/>
      <c r="AK13" s="62">
        <f t="shared" si="51"/>
        <v>562.56000000000006</v>
      </c>
      <c r="AL13" s="62">
        <f t="shared" si="55"/>
        <v>44.879999999999995</v>
      </c>
      <c r="BM13" s="62">
        <v>39</v>
      </c>
      <c r="BN13" s="62">
        <v>30.300000000000001</v>
      </c>
      <c r="BO13" s="62" t="s">
        <v>175</v>
      </c>
      <c r="BQ13" s="62">
        <v>40.299999999999997</v>
      </c>
      <c r="BR13" s="62">
        <v>24.600000000000001</v>
      </c>
      <c r="BS13" s="62" t="s">
        <v>175</v>
      </c>
      <c r="BT13" s="62"/>
      <c r="BU13" s="62">
        <v>100.09999999999999</v>
      </c>
      <c r="BV13" s="62">
        <v>20.399999999999999</v>
      </c>
      <c r="BW13" s="62" t="s">
        <v>175</v>
      </c>
      <c r="BX13" s="62"/>
      <c r="BY13" s="62">
        <v>234.40000000000001</v>
      </c>
      <c r="BZ13" s="62">
        <v>18.699999999999999</v>
      </c>
      <c r="CA13" s="62" t="s">
        <v>175</v>
      </c>
      <c r="CB13" s="62"/>
      <c r="CC13" s="62">
        <v>140</v>
      </c>
      <c r="CD13" s="62">
        <v>140</v>
      </c>
      <c r="CE13" s="62">
        <v>140</v>
      </c>
      <c r="CF13" s="62">
        <v>140</v>
      </c>
      <c r="CG13" s="62">
        <v>140</v>
      </c>
      <c r="CH13" s="62">
        <v>140</v>
      </c>
      <c r="CI13" s="62">
        <v>140</v>
      </c>
      <c r="CJ13" s="62">
        <v>140</v>
      </c>
    </row>
    <row r="14" ht="15.75" customHeight="1">
      <c r="A14" s="51" t="s">
        <v>123</v>
      </c>
      <c r="B14" s="51" t="s">
        <v>129</v>
      </c>
      <c r="C14" s="51" t="s">
        <v>419</v>
      </c>
      <c r="D14" s="174" t="s">
        <v>417</v>
      </c>
      <c r="E14" s="161" t="s">
        <v>417</v>
      </c>
      <c r="F14" s="51" t="s">
        <v>91</v>
      </c>
      <c r="I14" s="51" t="s">
        <v>395</v>
      </c>
      <c r="J14" s="51" t="s">
        <v>396</v>
      </c>
      <c r="O14" s="51" t="s">
        <v>404</v>
      </c>
      <c r="P14" s="51" t="s">
        <v>401</v>
      </c>
      <c r="Q14" s="51" t="s">
        <v>401</v>
      </c>
      <c r="T14" s="106" t="s">
        <v>174</v>
      </c>
      <c r="W14" s="175">
        <v>4.5</v>
      </c>
      <c r="Y14" s="62">
        <f t="shared" si="48"/>
        <v>120</v>
      </c>
      <c r="Z14" s="62">
        <f t="shared" si="52"/>
        <v>76.799999999999997</v>
      </c>
      <c r="AA14" s="62"/>
      <c r="AB14" s="62"/>
      <c r="AC14" s="62">
        <f t="shared" si="49"/>
        <v>132</v>
      </c>
      <c r="AD14" s="62">
        <f t="shared" si="53"/>
        <v>64.799999999999997</v>
      </c>
      <c r="AE14" s="62"/>
      <c r="AF14" s="62"/>
      <c r="AG14" s="62">
        <f t="shared" si="50"/>
        <v>156</v>
      </c>
      <c r="AH14" s="62">
        <f t="shared" si="54"/>
        <v>57.600000000000001</v>
      </c>
      <c r="AI14" s="62"/>
      <c r="AJ14" s="62"/>
      <c r="AK14" s="62">
        <f t="shared" si="51"/>
        <v>180</v>
      </c>
      <c r="AL14" s="62">
        <f t="shared" si="55"/>
        <v>55.200000000000003</v>
      </c>
      <c r="BM14" s="62">
        <v>50</v>
      </c>
      <c r="BN14" s="62">
        <v>32</v>
      </c>
      <c r="BO14" s="62" t="s">
        <v>175</v>
      </c>
      <c r="BQ14" s="62">
        <v>55</v>
      </c>
      <c r="BR14" s="62">
        <v>27</v>
      </c>
      <c r="BS14" s="62" t="s">
        <v>175</v>
      </c>
      <c r="BT14" s="62"/>
      <c r="BU14" s="62">
        <v>65</v>
      </c>
      <c r="BV14" s="62">
        <v>24</v>
      </c>
      <c r="BW14" s="62" t="s">
        <v>175</v>
      </c>
      <c r="BX14" s="62"/>
      <c r="BY14" s="62">
        <v>75</v>
      </c>
      <c r="BZ14" s="62">
        <v>23</v>
      </c>
      <c r="CA14" s="62" t="s">
        <v>175</v>
      </c>
      <c r="CB14" s="62"/>
      <c r="CC14" s="62">
        <v>140</v>
      </c>
      <c r="CD14" s="62">
        <v>140</v>
      </c>
      <c r="CE14" s="62">
        <v>140</v>
      </c>
      <c r="CF14" s="62">
        <v>140</v>
      </c>
      <c r="CG14" s="62">
        <v>140</v>
      </c>
      <c r="CH14" s="62">
        <v>140</v>
      </c>
      <c r="CI14" s="62">
        <v>140</v>
      </c>
      <c r="CJ14" s="62">
        <v>140</v>
      </c>
    </row>
    <row r="15" ht="15.75" customHeight="1">
      <c r="A15" s="51" t="s">
        <v>123</v>
      </c>
      <c r="B15" s="51" t="s">
        <v>129</v>
      </c>
      <c r="C15" s="51" t="s">
        <v>420</v>
      </c>
      <c r="D15" s="174" t="s">
        <v>417</v>
      </c>
      <c r="E15" s="161" t="s">
        <v>417</v>
      </c>
      <c r="F15" s="51" t="s">
        <v>91</v>
      </c>
      <c r="I15" s="51" t="s">
        <v>395</v>
      </c>
      <c r="J15" s="51" t="s">
        <v>396</v>
      </c>
      <c r="O15" s="51" t="s">
        <v>406</v>
      </c>
      <c r="P15" s="51" t="s">
        <v>171</v>
      </c>
      <c r="Q15" s="51" t="s">
        <v>397</v>
      </c>
      <c r="T15" s="106" t="s">
        <v>174</v>
      </c>
      <c r="W15" s="175">
        <v>4.5</v>
      </c>
      <c r="Y15" s="62">
        <f t="shared" si="48"/>
        <v>90.960000000000008</v>
      </c>
      <c r="Z15" s="62">
        <f t="shared" si="52"/>
        <v>90.719999999999999</v>
      </c>
      <c r="AA15" s="62"/>
      <c r="AB15" s="62"/>
      <c r="AC15" s="62">
        <f t="shared" si="49"/>
        <v>89.280000000000001</v>
      </c>
      <c r="AD15" s="62">
        <f t="shared" si="53"/>
        <v>78.719999999999999</v>
      </c>
      <c r="AE15" s="62"/>
      <c r="AF15" s="62"/>
      <c r="AG15" s="62">
        <f t="shared" si="50"/>
        <v>397.19999999999999</v>
      </c>
      <c r="AH15" s="62">
        <f t="shared" si="54"/>
        <v>63.120000000000005</v>
      </c>
      <c r="AI15" s="62"/>
      <c r="AJ15" s="62"/>
      <c r="AK15" s="62">
        <f t="shared" si="51"/>
        <v>683.75999999999999</v>
      </c>
      <c r="AL15" s="62">
        <f t="shared" si="55"/>
        <v>55.440000000000005</v>
      </c>
      <c r="BM15" s="104">
        <v>37.899999999999999</v>
      </c>
      <c r="BN15" s="104">
        <v>37.799999999999997</v>
      </c>
      <c r="BO15" s="104" t="s">
        <v>175</v>
      </c>
      <c r="BP15" s="58"/>
      <c r="BQ15" s="104">
        <v>37.200000000000003</v>
      </c>
      <c r="BR15" s="104">
        <v>32.799999999999997</v>
      </c>
      <c r="BS15" s="104" t="s">
        <v>175</v>
      </c>
      <c r="BT15" s="104"/>
      <c r="BU15" s="104">
        <v>165.5</v>
      </c>
      <c r="BV15" s="104">
        <v>26.300000000000001</v>
      </c>
      <c r="BW15" s="104" t="s">
        <v>175</v>
      </c>
      <c r="BX15" s="104"/>
      <c r="BY15" s="104">
        <v>284.89999999999998</v>
      </c>
      <c r="BZ15" s="104">
        <v>23.100000000000001</v>
      </c>
      <c r="CA15" s="104" t="s">
        <v>175</v>
      </c>
      <c r="CB15" s="62"/>
      <c r="CC15" s="62">
        <v>140</v>
      </c>
      <c r="CD15" s="62">
        <v>140</v>
      </c>
      <c r="CE15" s="62">
        <v>140</v>
      </c>
      <c r="CF15" s="62">
        <v>140</v>
      </c>
      <c r="CG15" s="62">
        <v>140</v>
      </c>
      <c r="CH15" s="62">
        <v>140</v>
      </c>
      <c r="CI15" s="62">
        <v>140</v>
      </c>
      <c r="CJ15" s="62">
        <v>140</v>
      </c>
    </row>
    <row r="16" ht="15.75" customHeight="1">
      <c r="A16" s="51" t="s">
        <v>123</v>
      </c>
      <c r="B16" s="51" t="s">
        <v>129</v>
      </c>
      <c r="C16" s="51" t="s">
        <v>421</v>
      </c>
      <c r="D16" s="174" t="s">
        <v>417</v>
      </c>
      <c r="E16" s="161" t="s">
        <v>417</v>
      </c>
      <c r="F16" s="51" t="s">
        <v>91</v>
      </c>
      <c r="I16" s="51" t="s">
        <v>395</v>
      </c>
      <c r="J16" s="51" t="s">
        <v>396</v>
      </c>
      <c r="O16" s="51" t="s">
        <v>408</v>
      </c>
      <c r="P16" s="51" t="s">
        <v>171</v>
      </c>
      <c r="Q16" s="51" t="s">
        <v>171</v>
      </c>
      <c r="T16" s="106" t="s">
        <v>174</v>
      </c>
      <c r="W16" s="175">
        <v>4.5</v>
      </c>
      <c r="Y16" s="62">
        <f t="shared" si="48"/>
        <v>108</v>
      </c>
      <c r="Z16" s="62">
        <f t="shared" si="52"/>
        <v>82.799999999999997</v>
      </c>
      <c r="AA16" s="62"/>
      <c r="AB16" s="62"/>
      <c r="AC16" s="62">
        <f t="shared" si="49"/>
        <v>96</v>
      </c>
      <c r="AD16" s="62">
        <f t="shared" si="53"/>
        <v>79.200000000000003</v>
      </c>
      <c r="AE16" s="62"/>
      <c r="AF16" s="62"/>
      <c r="AG16" s="62">
        <f t="shared" si="50"/>
        <v>96</v>
      </c>
      <c r="AH16" s="62">
        <f t="shared" si="54"/>
        <v>74.400000000000006</v>
      </c>
      <c r="AI16" s="62"/>
      <c r="AJ16" s="62"/>
      <c r="AK16" s="62">
        <f t="shared" si="51"/>
        <v>312</v>
      </c>
      <c r="AL16" s="62">
        <f t="shared" si="55"/>
        <v>72</v>
      </c>
      <c r="BM16" s="104">
        <v>45</v>
      </c>
      <c r="BN16" s="104">
        <v>34.5</v>
      </c>
      <c r="BO16" s="104" t="s">
        <v>175</v>
      </c>
      <c r="BP16" s="58"/>
      <c r="BQ16" s="104">
        <v>40</v>
      </c>
      <c r="BR16" s="104">
        <v>33</v>
      </c>
      <c r="BS16" s="104" t="s">
        <v>175</v>
      </c>
      <c r="BT16" s="104"/>
      <c r="BU16" s="104">
        <v>40</v>
      </c>
      <c r="BV16" s="104">
        <v>31</v>
      </c>
      <c r="BW16" s="104" t="s">
        <v>175</v>
      </c>
      <c r="BX16" s="104"/>
      <c r="BY16" s="104">
        <v>130</v>
      </c>
      <c r="BZ16" s="104">
        <v>30</v>
      </c>
      <c r="CA16" s="104" t="s">
        <v>175</v>
      </c>
      <c r="CB16" s="62"/>
      <c r="CC16" s="62">
        <v>140</v>
      </c>
      <c r="CD16" s="62">
        <v>140</v>
      </c>
      <c r="CE16" s="62">
        <v>140</v>
      </c>
      <c r="CF16" s="62">
        <v>140</v>
      </c>
      <c r="CG16" s="62">
        <v>140</v>
      </c>
      <c r="CH16" s="62">
        <v>140</v>
      </c>
      <c r="CI16" s="62">
        <v>140</v>
      </c>
      <c r="CJ16" s="62">
        <v>140</v>
      </c>
    </row>
    <row r="17" s="76" customFormat="1" ht="15.75" customHeight="1">
      <c r="A17" s="77" t="s">
        <v>36</v>
      </c>
      <c r="B17" s="76" t="s">
        <v>90</v>
      </c>
      <c r="C17" s="76" t="s">
        <v>422</v>
      </c>
      <c r="D17" s="77" t="s">
        <v>423</v>
      </c>
      <c r="E17" s="179" t="s">
        <v>424</v>
      </c>
      <c r="G17" s="76" t="s">
        <v>181</v>
      </c>
      <c r="H17" s="76" t="s">
        <v>315</v>
      </c>
      <c r="I17" s="76" t="s">
        <v>395</v>
      </c>
      <c r="J17" s="76" t="s">
        <v>425</v>
      </c>
      <c r="O17" s="76" t="s">
        <v>406</v>
      </c>
      <c r="P17" s="76" t="s">
        <v>171</v>
      </c>
      <c r="Q17" s="76" t="s">
        <v>397</v>
      </c>
      <c r="R17" s="77" t="s">
        <v>426</v>
      </c>
      <c r="T17" s="99" t="s">
        <v>174</v>
      </c>
      <c r="W17" s="86">
        <v>5</v>
      </c>
      <c r="Y17" s="84">
        <f t="shared" si="48"/>
        <v>33.839999999999996</v>
      </c>
      <c r="Z17" s="84">
        <f t="shared" si="52"/>
        <v>35.519999999999996</v>
      </c>
      <c r="AA17" s="84"/>
      <c r="AB17" s="84"/>
      <c r="AC17" s="84">
        <f t="shared" si="49"/>
        <v>37.920000000000002</v>
      </c>
      <c r="AD17" s="84">
        <f t="shared" si="53"/>
        <v>31.920000000000002</v>
      </c>
      <c r="AE17" s="84"/>
      <c r="AF17" s="84"/>
      <c r="AG17" s="84">
        <f t="shared" si="50"/>
        <v>156.72</v>
      </c>
      <c r="AH17" s="84">
        <f t="shared" si="54"/>
        <v>28.560000000000002</v>
      </c>
      <c r="AI17" s="84"/>
      <c r="AJ17" s="84"/>
      <c r="AK17" s="84">
        <f t="shared" si="51"/>
        <v>224.40000000000001</v>
      </c>
      <c r="AL17" s="84">
        <f t="shared" si="55"/>
        <v>29.039999999999999</v>
      </c>
      <c r="BM17" s="84">
        <v>14.1</v>
      </c>
      <c r="BN17" s="84">
        <v>14.800000000000001</v>
      </c>
      <c r="BO17" s="84" t="s">
        <v>175</v>
      </c>
      <c r="BQ17" s="84">
        <v>15.800000000000001</v>
      </c>
      <c r="BR17" s="84">
        <v>13.300000000000001</v>
      </c>
      <c r="BS17" s="84" t="s">
        <v>175</v>
      </c>
      <c r="BT17" s="84"/>
      <c r="BU17" s="84">
        <v>65.299999999999997</v>
      </c>
      <c r="BV17" s="84">
        <v>11.9</v>
      </c>
      <c r="BW17" s="84" t="s">
        <v>175</v>
      </c>
      <c r="BX17" s="84"/>
      <c r="BY17" s="84">
        <v>93.5</v>
      </c>
      <c r="BZ17" s="84">
        <v>12.1</v>
      </c>
      <c r="CA17" s="84" t="s">
        <v>175</v>
      </c>
      <c r="CB17" s="84"/>
      <c r="CC17" s="84">
        <v>140</v>
      </c>
      <c r="CD17" s="84">
        <v>140</v>
      </c>
      <c r="CE17" s="84">
        <v>140</v>
      </c>
      <c r="CF17" s="84">
        <v>140</v>
      </c>
      <c r="CG17" s="84">
        <v>140</v>
      </c>
      <c r="CH17" s="84">
        <v>140</v>
      </c>
      <c r="CI17" s="84">
        <v>140</v>
      </c>
      <c r="CJ17" s="84">
        <v>140</v>
      </c>
    </row>
    <row r="18" s="76" customFormat="1" ht="15.75" customHeight="1">
      <c r="A18" s="77" t="s">
        <v>36</v>
      </c>
      <c r="B18" s="76" t="s">
        <v>90</v>
      </c>
      <c r="C18" s="76" t="s">
        <v>427</v>
      </c>
      <c r="D18" s="77" t="s">
        <v>423</v>
      </c>
      <c r="E18" s="179" t="s">
        <v>424</v>
      </c>
      <c r="G18" s="76" t="s">
        <v>181</v>
      </c>
      <c r="H18" s="76" t="s">
        <v>315</v>
      </c>
      <c r="I18" s="76" t="s">
        <v>395</v>
      </c>
      <c r="J18" s="76" t="s">
        <v>425</v>
      </c>
      <c r="O18" s="76" t="s">
        <v>408</v>
      </c>
      <c r="P18" s="76" t="s">
        <v>171</v>
      </c>
      <c r="Q18" s="76" t="s">
        <v>171</v>
      </c>
      <c r="R18" s="77" t="s">
        <v>426</v>
      </c>
      <c r="T18" s="99" t="s">
        <v>174</v>
      </c>
      <c r="W18" s="86">
        <v>5</v>
      </c>
      <c r="Y18" s="84">
        <f t="shared" si="48"/>
        <v>47.759999999999998</v>
      </c>
      <c r="Z18" s="84">
        <f t="shared" si="52"/>
        <v>44.879999999999995</v>
      </c>
      <c r="AA18" s="84"/>
      <c r="AB18" s="84"/>
      <c r="AC18" s="84">
        <f t="shared" si="49"/>
        <v>48.719999999999999</v>
      </c>
      <c r="AD18" s="84">
        <f t="shared" si="53"/>
        <v>38.399999999999999</v>
      </c>
      <c r="AE18" s="84"/>
      <c r="AF18" s="84"/>
      <c r="AG18" s="84">
        <f t="shared" si="50"/>
        <v>179.75999999999999</v>
      </c>
      <c r="AH18" s="84">
        <f t="shared" si="54"/>
        <v>33.839999999999996</v>
      </c>
      <c r="AI18" s="84"/>
      <c r="AJ18" s="84"/>
      <c r="AK18" s="84">
        <f t="shared" si="51"/>
        <v>227.76000000000002</v>
      </c>
      <c r="AL18" s="84">
        <f t="shared" si="55"/>
        <v>34.560000000000002</v>
      </c>
      <c r="BM18" s="84">
        <v>19.899999999999999</v>
      </c>
      <c r="BN18" s="84">
        <v>18.699999999999999</v>
      </c>
      <c r="BO18" s="84" t="s">
        <v>175</v>
      </c>
      <c r="BQ18" s="84">
        <v>20.300000000000001</v>
      </c>
      <c r="BR18" s="84">
        <v>16</v>
      </c>
      <c r="BS18" s="84" t="s">
        <v>175</v>
      </c>
      <c r="BT18" s="84"/>
      <c r="BU18" s="84">
        <v>74.900000000000006</v>
      </c>
      <c r="BV18" s="84">
        <v>14.1</v>
      </c>
      <c r="BW18" s="84" t="s">
        <v>175</v>
      </c>
      <c r="BX18" s="84"/>
      <c r="BY18" s="84">
        <v>94.900000000000006</v>
      </c>
      <c r="BZ18" s="84">
        <v>14.4</v>
      </c>
      <c r="CA18" s="84" t="s">
        <v>175</v>
      </c>
      <c r="CB18" s="84"/>
      <c r="CC18" s="84">
        <v>140</v>
      </c>
      <c r="CD18" s="84">
        <v>140</v>
      </c>
      <c r="CE18" s="84">
        <v>140</v>
      </c>
      <c r="CF18" s="84">
        <v>140</v>
      </c>
      <c r="CG18" s="84">
        <v>140</v>
      </c>
      <c r="CH18" s="84">
        <v>140</v>
      </c>
      <c r="CI18" s="84">
        <v>140</v>
      </c>
      <c r="CJ18" s="84">
        <v>140</v>
      </c>
    </row>
    <row r="19" s="76" customFormat="1" ht="15.75" customHeight="1">
      <c r="A19" s="77" t="s">
        <v>36</v>
      </c>
      <c r="B19" s="76" t="s">
        <v>90</v>
      </c>
      <c r="C19" s="76" t="s">
        <v>428</v>
      </c>
      <c r="D19" s="77" t="s">
        <v>423</v>
      </c>
      <c r="E19" s="179" t="s">
        <v>424</v>
      </c>
      <c r="G19" s="76" t="s">
        <v>181</v>
      </c>
      <c r="H19" s="76" t="s">
        <v>315</v>
      </c>
      <c r="I19" s="76" t="s">
        <v>395</v>
      </c>
      <c r="J19" s="76" t="s">
        <v>425</v>
      </c>
      <c r="O19" s="76" t="s">
        <v>429</v>
      </c>
      <c r="P19" s="76" t="s">
        <v>171</v>
      </c>
      <c r="Q19" s="76" t="s">
        <v>401</v>
      </c>
      <c r="R19" s="77" t="s">
        <v>426</v>
      </c>
      <c r="T19" s="99" t="s">
        <v>174</v>
      </c>
      <c r="W19" s="86">
        <v>5</v>
      </c>
      <c r="Y19" s="84">
        <f t="shared" si="48"/>
        <v>49.920000000000002</v>
      </c>
      <c r="Z19" s="84">
        <f t="shared" si="52"/>
        <v>44.399999999999999</v>
      </c>
      <c r="AA19" s="84"/>
      <c r="AB19" s="84"/>
      <c r="AC19" s="84">
        <f t="shared" si="49"/>
        <v>81.120000000000005</v>
      </c>
      <c r="AD19" s="84">
        <f t="shared" si="53"/>
        <v>40.799999999999997</v>
      </c>
      <c r="AE19" s="84"/>
      <c r="AF19" s="84"/>
      <c r="AG19" s="84">
        <f t="shared" si="50"/>
        <v>202.07999999999998</v>
      </c>
      <c r="AH19" s="84">
        <f t="shared" si="54"/>
        <v>36</v>
      </c>
      <c r="AI19" s="84"/>
      <c r="AJ19" s="84"/>
      <c r="AK19" s="84">
        <f t="shared" si="51"/>
        <v>299.28000000000003</v>
      </c>
      <c r="AL19" s="84">
        <f t="shared" si="55"/>
        <v>35.280000000000001</v>
      </c>
      <c r="BM19" s="84">
        <v>20.800000000000001</v>
      </c>
      <c r="BN19" s="84">
        <v>18.5</v>
      </c>
      <c r="BO19" s="84" t="s">
        <v>175</v>
      </c>
      <c r="BQ19" s="84">
        <v>33.799999999999997</v>
      </c>
      <c r="BR19" s="84">
        <v>17</v>
      </c>
      <c r="BS19" s="84" t="s">
        <v>175</v>
      </c>
      <c r="BT19" s="84"/>
      <c r="BU19" s="84">
        <v>84.200000000000003</v>
      </c>
      <c r="BV19" s="84">
        <v>15</v>
      </c>
      <c r="BW19" s="84" t="s">
        <v>175</v>
      </c>
      <c r="BX19" s="84"/>
      <c r="BY19" s="84">
        <v>124.7</v>
      </c>
      <c r="BZ19" s="84">
        <v>14.699999999999999</v>
      </c>
      <c r="CA19" s="84" t="s">
        <v>175</v>
      </c>
      <c r="CB19" s="84"/>
      <c r="CC19" s="84">
        <v>140</v>
      </c>
      <c r="CD19" s="84">
        <v>140</v>
      </c>
      <c r="CE19" s="84">
        <v>140</v>
      </c>
      <c r="CF19" s="84">
        <v>140</v>
      </c>
      <c r="CG19" s="84">
        <v>140</v>
      </c>
      <c r="CH19" s="84">
        <v>140</v>
      </c>
      <c r="CI19" s="84">
        <v>140</v>
      </c>
      <c r="CJ19" s="84">
        <v>140</v>
      </c>
    </row>
    <row r="20" s="76" customFormat="1" ht="15.75" customHeight="1">
      <c r="A20" s="77" t="s">
        <v>36</v>
      </c>
      <c r="B20" s="76" t="s">
        <v>90</v>
      </c>
      <c r="C20" s="76" t="s">
        <v>430</v>
      </c>
      <c r="D20" s="77" t="s">
        <v>423</v>
      </c>
      <c r="E20" s="179" t="s">
        <v>424</v>
      </c>
      <c r="G20" s="76" t="s">
        <v>181</v>
      </c>
      <c r="H20" s="76" t="s">
        <v>315</v>
      </c>
      <c r="I20" s="76" t="s">
        <v>395</v>
      </c>
      <c r="J20" s="76" t="s">
        <v>425</v>
      </c>
      <c r="O20" s="76" t="s">
        <v>400</v>
      </c>
      <c r="P20" s="76" t="s">
        <v>401</v>
      </c>
      <c r="Q20" s="76" t="s">
        <v>397</v>
      </c>
      <c r="R20" s="77" t="s">
        <v>426</v>
      </c>
      <c r="T20" s="99" t="s">
        <v>174</v>
      </c>
      <c r="W20" s="86">
        <v>5</v>
      </c>
      <c r="Y20" s="84">
        <f t="shared" si="48"/>
        <v>35.280000000000001</v>
      </c>
      <c r="Z20" s="84">
        <f t="shared" si="52"/>
        <v>33.839999999999996</v>
      </c>
      <c r="AA20" s="84"/>
      <c r="AB20" s="84"/>
      <c r="AC20" s="84">
        <f t="shared" si="49"/>
        <v>63.600000000000001</v>
      </c>
      <c r="AD20" s="84">
        <f t="shared" si="53"/>
        <v>31.439999999999998</v>
      </c>
      <c r="AE20" s="84"/>
      <c r="AF20" s="84"/>
      <c r="AG20" s="84">
        <f t="shared" si="50"/>
        <v>161.75999999999999</v>
      </c>
      <c r="AH20" s="84">
        <f t="shared" si="54"/>
        <v>27.839999999999996</v>
      </c>
      <c r="AI20" s="84"/>
      <c r="AJ20" s="84"/>
      <c r="AK20" s="84">
        <f t="shared" si="51"/>
        <v>224.16</v>
      </c>
      <c r="AL20" s="84">
        <f t="shared" si="55"/>
        <v>28.560000000000002</v>
      </c>
      <c r="BM20" s="84">
        <v>14.699999999999999</v>
      </c>
      <c r="BN20" s="84">
        <v>14.1</v>
      </c>
      <c r="BO20" s="84" t="s">
        <v>175</v>
      </c>
      <c r="BQ20" s="84">
        <v>26.5</v>
      </c>
      <c r="BR20" s="84">
        <v>13.1</v>
      </c>
      <c r="BS20" s="84" t="s">
        <v>175</v>
      </c>
      <c r="BT20" s="84"/>
      <c r="BU20" s="84">
        <v>67.400000000000006</v>
      </c>
      <c r="BV20" s="84">
        <v>11.6</v>
      </c>
      <c r="BW20" s="84" t="s">
        <v>175</v>
      </c>
      <c r="BX20" s="84"/>
      <c r="BY20" s="84">
        <v>93.400000000000006</v>
      </c>
      <c r="BZ20" s="84">
        <v>11.9</v>
      </c>
      <c r="CA20" s="84" t="s">
        <v>175</v>
      </c>
      <c r="CB20" s="84"/>
      <c r="CC20" s="84">
        <v>140</v>
      </c>
      <c r="CD20" s="84">
        <v>140</v>
      </c>
      <c r="CE20" s="84">
        <v>140</v>
      </c>
      <c r="CF20" s="84">
        <v>140</v>
      </c>
      <c r="CG20" s="84">
        <v>140</v>
      </c>
      <c r="CH20" s="84">
        <v>140</v>
      </c>
      <c r="CI20" s="84">
        <v>140</v>
      </c>
      <c r="CJ20" s="84">
        <v>140</v>
      </c>
    </row>
    <row r="21" s="76" customFormat="1" ht="15.75" customHeight="1">
      <c r="A21" s="77" t="s">
        <v>36</v>
      </c>
      <c r="B21" s="76" t="s">
        <v>90</v>
      </c>
      <c r="C21" s="76" t="s">
        <v>431</v>
      </c>
      <c r="D21" s="77" t="s">
        <v>423</v>
      </c>
      <c r="E21" s="179" t="s">
        <v>424</v>
      </c>
      <c r="G21" s="76" t="s">
        <v>181</v>
      </c>
      <c r="H21" s="76" t="s">
        <v>315</v>
      </c>
      <c r="I21" s="76" t="s">
        <v>395</v>
      </c>
      <c r="J21" s="76" t="s">
        <v>425</v>
      </c>
      <c r="O21" s="76" t="s">
        <v>404</v>
      </c>
      <c r="P21" s="76" t="s">
        <v>401</v>
      </c>
      <c r="Q21" s="76" t="s">
        <v>401</v>
      </c>
      <c r="R21" s="77" t="s">
        <v>426</v>
      </c>
      <c r="T21" s="99" t="s">
        <v>174</v>
      </c>
      <c r="W21" s="86">
        <v>5</v>
      </c>
      <c r="Y21" s="84">
        <f t="shared" si="48"/>
        <v>41.280000000000001</v>
      </c>
      <c r="Z21" s="84">
        <f t="shared" si="52"/>
        <v>46.079999999999998</v>
      </c>
      <c r="AA21" s="84"/>
      <c r="AB21" s="84"/>
      <c r="AC21" s="84">
        <f t="shared" si="49"/>
        <v>76.799999999999997</v>
      </c>
      <c r="AD21" s="84">
        <f t="shared" si="53"/>
        <v>41.040000000000006</v>
      </c>
      <c r="AE21" s="84"/>
      <c r="AF21" s="84"/>
      <c r="AG21" s="84">
        <f t="shared" si="50"/>
        <v>205.68000000000001</v>
      </c>
      <c r="AH21" s="84">
        <f t="shared" si="54"/>
        <v>36</v>
      </c>
      <c r="AI21" s="84"/>
      <c r="AJ21" s="84"/>
      <c r="AK21" s="84">
        <f t="shared" si="51"/>
        <v>303.60000000000002</v>
      </c>
      <c r="AL21" s="84">
        <f t="shared" si="55"/>
        <v>35.519999999999996</v>
      </c>
      <c r="BM21" s="84">
        <v>17.199999999999999</v>
      </c>
      <c r="BN21" s="84">
        <v>19.199999999999999</v>
      </c>
      <c r="BO21" s="84" t="s">
        <v>175</v>
      </c>
      <c r="BQ21" s="84">
        <v>32</v>
      </c>
      <c r="BR21" s="84">
        <v>17.100000000000001</v>
      </c>
      <c r="BS21" s="84" t="s">
        <v>175</v>
      </c>
      <c r="BT21" s="84"/>
      <c r="BU21" s="84">
        <v>85.700000000000003</v>
      </c>
      <c r="BV21" s="84">
        <v>15</v>
      </c>
      <c r="BW21" s="84" t="s">
        <v>175</v>
      </c>
      <c r="BX21" s="84"/>
      <c r="BY21" s="84">
        <v>126.5</v>
      </c>
      <c r="BZ21" s="84">
        <v>14.800000000000001</v>
      </c>
      <c r="CA21" s="84" t="s">
        <v>175</v>
      </c>
      <c r="CB21" s="84"/>
      <c r="CC21" s="84">
        <v>140</v>
      </c>
      <c r="CD21" s="84">
        <v>140</v>
      </c>
      <c r="CE21" s="84">
        <v>140</v>
      </c>
      <c r="CF21" s="84">
        <v>140</v>
      </c>
      <c r="CG21" s="84">
        <v>140</v>
      </c>
      <c r="CH21" s="84">
        <v>140</v>
      </c>
      <c r="CI21" s="84">
        <v>140</v>
      </c>
      <c r="CJ21" s="84">
        <v>140</v>
      </c>
    </row>
    <row r="22" s="76" customFormat="1" ht="15.75" customHeight="1">
      <c r="A22" s="77" t="s">
        <v>36</v>
      </c>
      <c r="B22" s="76" t="s">
        <v>90</v>
      </c>
      <c r="C22" s="76" t="s">
        <v>432</v>
      </c>
      <c r="D22" s="77" t="s">
        <v>423</v>
      </c>
      <c r="E22" s="179" t="s">
        <v>424</v>
      </c>
      <c r="G22" s="76" t="s">
        <v>181</v>
      </c>
      <c r="H22" s="76" t="s">
        <v>315</v>
      </c>
      <c r="I22" s="76" t="s">
        <v>395</v>
      </c>
      <c r="J22" s="76" t="s">
        <v>300</v>
      </c>
      <c r="O22" s="76" t="s">
        <v>406</v>
      </c>
      <c r="P22" s="76" t="s">
        <v>171</v>
      </c>
      <c r="Q22" s="76" t="s">
        <v>397</v>
      </c>
      <c r="R22" s="77" t="s">
        <v>426</v>
      </c>
      <c r="T22" s="99" t="s">
        <v>174</v>
      </c>
      <c r="W22" s="86">
        <v>5.7000000000000002</v>
      </c>
      <c r="Y22" s="84">
        <f t="shared" si="48"/>
        <v>34.560000000000002</v>
      </c>
      <c r="Z22" s="84">
        <f t="shared" si="52"/>
        <v>36.240000000000002</v>
      </c>
      <c r="AA22" s="84"/>
      <c r="AB22" s="84"/>
      <c r="AC22" s="84">
        <f t="shared" si="49"/>
        <v>38.160000000000004</v>
      </c>
      <c r="AD22" s="84">
        <f t="shared" si="53"/>
        <v>32.640000000000001</v>
      </c>
      <c r="AE22" s="84"/>
      <c r="AF22" s="84"/>
      <c r="AG22" s="84">
        <f t="shared" si="50"/>
        <v>163.19999999999999</v>
      </c>
      <c r="AH22" s="84">
        <f t="shared" si="54"/>
        <v>29.039999999999999</v>
      </c>
      <c r="AI22" s="84"/>
      <c r="AJ22" s="84"/>
      <c r="AK22" s="84">
        <f t="shared" si="51"/>
        <v>221.03999999999999</v>
      </c>
      <c r="AL22" s="84">
        <f t="shared" si="55"/>
        <v>29.759999999999998</v>
      </c>
      <c r="BM22" s="84">
        <v>14.4</v>
      </c>
      <c r="BN22" s="84">
        <v>15.1</v>
      </c>
      <c r="BO22" s="84" t="s">
        <v>175</v>
      </c>
      <c r="BQ22" s="84">
        <v>15.9</v>
      </c>
      <c r="BR22" s="84">
        <v>13.6</v>
      </c>
      <c r="BS22" s="84" t="s">
        <v>175</v>
      </c>
      <c r="BT22" s="84"/>
      <c r="BU22" s="84">
        <v>68</v>
      </c>
      <c r="BV22" s="84">
        <v>12.1</v>
      </c>
      <c r="BW22" s="84" t="s">
        <v>175</v>
      </c>
      <c r="BX22" s="84"/>
      <c r="BY22" s="84">
        <v>92.099999999999994</v>
      </c>
      <c r="BZ22" s="84">
        <v>12.4</v>
      </c>
      <c r="CA22" s="84" t="s">
        <v>175</v>
      </c>
      <c r="CB22" s="84"/>
      <c r="CC22" s="84">
        <v>140</v>
      </c>
      <c r="CD22" s="84">
        <v>140</v>
      </c>
      <c r="CE22" s="84">
        <v>140</v>
      </c>
      <c r="CF22" s="84">
        <v>140</v>
      </c>
      <c r="CG22" s="84">
        <v>140</v>
      </c>
      <c r="CH22" s="84">
        <v>140</v>
      </c>
      <c r="CI22" s="84">
        <v>140</v>
      </c>
      <c r="CJ22" s="84">
        <v>140</v>
      </c>
    </row>
    <row r="23" s="76" customFormat="1" ht="15.75" customHeight="1">
      <c r="A23" s="77" t="s">
        <v>36</v>
      </c>
      <c r="B23" s="76" t="s">
        <v>90</v>
      </c>
      <c r="C23" s="76" t="s">
        <v>433</v>
      </c>
      <c r="D23" s="77" t="s">
        <v>423</v>
      </c>
      <c r="E23" s="179" t="s">
        <v>424</v>
      </c>
      <c r="G23" s="76" t="s">
        <v>181</v>
      </c>
      <c r="H23" s="76" t="s">
        <v>315</v>
      </c>
      <c r="I23" s="76" t="s">
        <v>395</v>
      </c>
      <c r="J23" s="76" t="s">
        <v>300</v>
      </c>
      <c r="O23" s="76" t="s">
        <v>408</v>
      </c>
      <c r="P23" s="76" t="s">
        <v>171</v>
      </c>
      <c r="Q23" s="76" t="s">
        <v>171</v>
      </c>
      <c r="R23" s="77" t="s">
        <v>426</v>
      </c>
      <c r="T23" s="99" t="s">
        <v>174</v>
      </c>
      <c r="W23" s="86">
        <v>5.7000000000000002</v>
      </c>
      <c r="Y23" s="84">
        <f t="shared" si="48"/>
        <v>48.959999999999994</v>
      </c>
      <c r="Z23" s="84">
        <f t="shared" si="52"/>
        <v>45.600000000000001</v>
      </c>
      <c r="AA23" s="84"/>
      <c r="AB23" s="84"/>
      <c r="AC23" s="84">
        <f t="shared" si="49"/>
        <v>50.159999999999997</v>
      </c>
      <c r="AD23" s="84">
        <f t="shared" si="53"/>
        <v>39.120000000000005</v>
      </c>
      <c r="AE23" s="84"/>
      <c r="AF23" s="84"/>
      <c r="AG23" s="84">
        <f t="shared" si="50"/>
        <v>182.40000000000001</v>
      </c>
      <c r="AH23" s="84">
        <f t="shared" si="54"/>
        <v>34.560000000000002</v>
      </c>
      <c r="AI23" s="84"/>
      <c r="AJ23" s="84"/>
      <c r="AK23" s="84">
        <f t="shared" si="51"/>
        <v>231.59999999999999</v>
      </c>
      <c r="AL23" s="84">
        <f t="shared" si="55"/>
        <v>35.280000000000001</v>
      </c>
      <c r="BM23" s="84">
        <v>20.399999999999999</v>
      </c>
      <c r="BN23" s="84">
        <v>19</v>
      </c>
      <c r="BO23" s="84" t="s">
        <v>175</v>
      </c>
      <c r="BQ23" s="84">
        <v>20.899999999999999</v>
      </c>
      <c r="BR23" s="84">
        <v>16.300000000000001</v>
      </c>
      <c r="BS23" s="84" t="s">
        <v>175</v>
      </c>
      <c r="BT23" s="84"/>
      <c r="BU23" s="84">
        <v>76</v>
      </c>
      <c r="BV23" s="84">
        <v>14.4</v>
      </c>
      <c r="BW23" s="84" t="s">
        <v>175</v>
      </c>
      <c r="BX23" s="84"/>
      <c r="BY23" s="84">
        <v>96.5</v>
      </c>
      <c r="BZ23" s="84">
        <v>14.699999999999999</v>
      </c>
      <c r="CA23" s="84" t="s">
        <v>175</v>
      </c>
      <c r="CB23" s="84"/>
      <c r="CC23" s="84">
        <v>140</v>
      </c>
      <c r="CD23" s="84">
        <v>140</v>
      </c>
      <c r="CE23" s="84">
        <v>140</v>
      </c>
      <c r="CF23" s="84">
        <v>140</v>
      </c>
      <c r="CG23" s="84">
        <v>140</v>
      </c>
      <c r="CH23" s="84">
        <v>140</v>
      </c>
      <c r="CI23" s="84">
        <v>140</v>
      </c>
      <c r="CJ23" s="84">
        <v>140</v>
      </c>
    </row>
    <row r="24" s="76" customFormat="1" ht="15.75" customHeight="1">
      <c r="A24" s="77" t="s">
        <v>36</v>
      </c>
      <c r="B24" s="76" t="s">
        <v>90</v>
      </c>
      <c r="C24" s="76" t="s">
        <v>434</v>
      </c>
      <c r="D24" s="77" t="s">
        <v>423</v>
      </c>
      <c r="E24" s="179" t="s">
        <v>424</v>
      </c>
      <c r="G24" s="76" t="s">
        <v>181</v>
      </c>
      <c r="H24" s="76" t="s">
        <v>315</v>
      </c>
      <c r="I24" s="76" t="s">
        <v>395</v>
      </c>
      <c r="J24" s="76" t="s">
        <v>300</v>
      </c>
      <c r="O24" s="76" t="s">
        <v>429</v>
      </c>
      <c r="P24" s="76" t="s">
        <v>171</v>
      </c>
      <c r="Q24" s="76" t="s">
        <v>401</v>
      </c>
      <c r="R24" s="77" t="s">
        <v>426</v>
      </c>
      <c r="T24" s="99" t="s">
        <v>174</v>
      </c>
      <c r="W24" s="86">
        <v>5.7000000000000002</v>
      </c>
      <c r="Y24" s="84">
        <f t="shared" si="48"/>
        <v>50.879999999999995</v>
      </c>
      <c r="Z24" s="84">
        <f t="shared" si="52"/>
        <v>45.120000000000005</v>
      </c>
      <c r="AA24" s="84"/>
      <c r="AB24" s="84"/>
      <c r="AC24" s="84">
        <f t="shared" si="49"/>
        <v>81.840000000000003</v>
      </c>
      <c r="AD24" s="84">
        <f t="shared" si="53"/>
        <v>41.759999999999998</v>
      </c>
      <c r="AE24" s="84"/>
      <c r="AF24" s="84"/>
      <c r="AG24" s="84">
        <f t="shared" si="50"/>
        <v>199.19999999999999</v>
      </c>
      <c r="AH24" s="84">
        <f t="shared" si="54"/>
        <v>36.960000000000001</v>
      </c>
      <c r="AI24" s="84"/>
      <c r="AJ24" s="84"/>
      <c r="AK24" s="84">
        <f t="shared" si="51"/>
        <v>305.28000000000003</v>
      </c>
      <c r="AL24" s="84">
        <f t="shared" si="55"/>
        <v>36</v>
      </c>
      <c r="BM24" s="84">
        <v>21.199999999999999</v>
      </c>
      <c r="BN24" s="84">
        <v>18.800000000000001</v>
      </c>
      <c r="BO24" s="84" t="s">
        <v>175</v>
      </c>
      <c r="BQ24" s="84">
        <v>34.100000000000001</v>
      </c>
      <c r="BR24" s="84">
        <v>17.399999999999999</v>
      </c>
      <c r="BS24" s="84" t="s">
        <v>175</v>
      </c>
      <c r="BT24" s="84"/>
      <c r="BU24" s="84">
        <v>83</v>
      </c>
      <c r="BV24" s="84">
        <v>15.4</v>
      </c>
      <c r="BW24" s="84" t="s">
        <v>175</v>
      </c>
      <c r="BX24" s="84"/>
      <c r="BY24" s="84">
        <v>127.2</v>
      </c>
      <c r="BZ24" s="84">
        <v>15</v>
      </c>
      <c r="CA24" s="84" t="s">
        <v>175</v>
      </c>
      <c r="CB24" s="84"/>
      <c r="CC24" s="84">
        <v>140</v>
      </c>
      <c r="CD24" s="84">
        <v>140</v>
      </c>
      <c r="CE24" s="84">
        <v>140</v>
      </c>
      <c r="CF24" s="84">
        <v>140</v>
      </c>
      <c r="CG24" s="84">
        <v>140</v>
      </c>
      <c r="CH24" s="84">
        <v>140</v>
      </c>
      <c r="CI24" s="84">
        <v>140</v>
      </c>
      <c r="CJ24" s="84">
        <v>140</v>
      </c>
    </row>
    <row r="25" s="76" customFormat="1" ht="15.75" customHeight="1">
      <c r="A25" s="77" t="s">
        <v>36</v>
      </c>
      <c r="B25" s="76" t="s">
        <v>90</v>
      </c>
      <c r="C25" s="76" t="s">
        <v>435</v>
      </c>
      <c r="D25" s="77" t="s">
        <v>423</v>
      </c>
      <c r="E25" s="179" t="s">
        <v>424</v>
      </c>
      <c r="G25" s="76" t="s">
        <v>181</v>
      </c>
      <c r="H25" s="76" t="s">
        <v>315</v>
      </c>
      <c r="I25" s="76" t="s">
        <v>395</v>
      </c>
      <c r="J25" s="76" t="s">
        <v>300</v>
      </c>
      <c r="O25" s="76" t="s">
        <v>400</v>
      </c>
      <c r="P25" s="76" t="s">
        <v>401</v>
      </c>
      <c r="Q25" s="76" t="s">
        <v>397</v>
      </c>
      <c r="R25" s="77" t="s">
        <v>426</v>
      </c>
      <c r="T25" s="99" t="s">
        <v>174</v>
      </c>
      <c r="W25" s="86">
        <v>5.7000000000000002</v>
      </c>
      <c r="Y25" s="84">
        <f t="shared" si="48"/>
        <v>35.759999999999998</v>
      </c>
      <c r="Z25" s="84">
        <f t="shared" si="52"/>
        <v>34.560000000000002</v>
      </c>
      <c r="AA25" s="84"/>
      <c r="AB25" s="84"/>
      <c r="AC25" s="84">
        <f t="shared" si="49"/>
        <v>64.320000000000007</v>
      </c>
      <c r="AD25" s="84">
        <f t="shared" si="53"/>
        <v>32.160000000000004</v>
      </c>
      <c r="AE25" s="84"/>
      <c r="AF25" s="84"/>
      <c r="AG25" s="84">
        <f t="shared" si="50"/>
        <v>160.56</v>
      </c>
      <c r="AH25" s="84">
        <f t="shared" si="54"/>
        <v>28.560000000000002</v>
      </c>
      <c r="AI25" s="84"/>
      <c r="AJ25" s="84"/>
      <c r="AK25" s="84">
        <f t="shared" si="51"/>
        <v>235.19999999999999</v>
      </c>
      <c r="AL25" s="84">
        <f t="shared" si="55"/>
        <v>29.039999999999999</v>
      </c>
      <c r="BM25" s="84">
        <v>14.9</v>
      </c>
      <c r="BN25" s="84">
        <v>14.4</v>
      </c>
      <c r="BO25" s="84" t="s">
        <v>175</v>
      </c>
      <c r="BQ25" s="84">
        <v>26.800000000000001</v>
      </c>
      <c r="BR25" s="84">
        <v>13.4</v>
      </c>
      <c r="BS25" s="84" t="s">
        <v>175</v>
      </c>
      <c r="BT25" s="84"/>
      <c r="BU25" s="84">
        <v>66.900000000000006</v>
      </c>
      <c r="BV25" s="84">
        <v>11.9</v>
      </c>
      <c r="BW25" s="84" t="s">
        <v>175</v>
      </c>
      <c r="BX25" s="84"/>
      <c r="BY25" s="84">
        <v>98</v>
      </c>
      <c r="BZ25" s="84">
        <v>12.1</v>
      </c>
      <c r="CA25" s="84" t="s">
        <v>175</v>
      </c>
      <c r="CB25" s="84"/>
      <c r="CC25" s="84">
        <v>140</v>
      </c>
      <c r="CD25" s="84">
        <v>140</v>
      </c>
      <c r="CE25" s="84">
        <v>140</v>
      </c>
      <c r="CF25" s="84">
        <v>140</v>
      </c>
      <c r="CG25" s="84">
        <v>140</v>
      </c>
      <c r="CH25" s="84">
        <v>140</v>
      </c>
      <c r="CI25" s="84">
        <v>140</v>
      </c>
      <c r="CJ25" s="84">
        <v>140</v>
      </c>
    </row>
    <row r="26" s="76" customFormat="1" ht="15.75" customHeight="1">
      <c r="A26" s="77" t="s">
        <v>36</v>
      </c>
      <c r="B26" s="76" t="s">
        <v>90</v>
      </c>
      <c r="C26" s="76" t="s">
        <v>436</v>
      </c>
      <c r="D26" s="77" t="s">
        <v>423</v>
      </c>
      <c r="E26" s="179" t="s">
        <v>424</v>
      </c>
      <c r="G26" s="76" t="s">
        <v>181</v>
      </c>
      <c r="H26" s="76" t="s">
        <v>315</v>
      </c>
      <c r="I26" s="76" t="s">
        <v>395</v>
      </c>
      <c r="J26" s="76" t="s">
        <v>300</v>
      </c>
      <c r="O26" s="76" t="s">
        <v>404</v>
      </c>
      <c r="P26" s="76" t="s">
        <v>401</v>
      </c>
      <c r="Q26" s="76" t="s">
        <v>401</v>
      </c>
      <c r="R26" s="77" t="s">
        <v>426</v>
      </c>
      <c r="T26" s="99" t="s">
        <v>174</v>
      </c>
      <c r="W26" s="86">
        <v>5.7000000000000002</v>
      </c>
      <c r="Y26" s="84">
        <f t="shared" si="48"/>
        <v>42</v>
      </c>
      <c r="Z26" s="84">
        <f t="shared" si="52"/>
        <v>47.040000000000006</v>
      </c>
      <c r="AA26" s="84"/>
      <c r="AB26" s="84"/>
      <c r="AC26" s="84">
        <f t="shared" si="49"/>
        <v>79.200000000000003</v>
      </c>
      <c r="AD26" s="84">
        <f t="shared" si="53"/>
        <v>41.759999999999998</v>
      </c>
      <c r="AE26" s="84"/>
      <c r="AF26" s="84"/>
      <c r="AG26" s="84">
        <f t="shared" si="50"/>
        <v>203.03999999999999</v>
      </c>
      <c r="AH26" s="84">
        <f t="shared" si="54"/>
        <v>36.960000000000001</v>
      </c>
      <c r="AI26" s="84"/>
      <c r="AJ26" s="84"/>
      <c r="AK26" s="84">
        <f t="shared" si="51"/>
        <v>310.07999999999998</v>
      </c>
      <c r="AL26" s="84">
        <f t="shared" si="55"/>
        <v>36.240000000000002</v>
      </c>
      <c r="BM26" s="84">
        <v>17.5</v>
      </c>
      <c r="BN26" s="84">
        <v>19.600000000000001</v>
      </c>
      <c r="BO26" s="84" t="s">
        <v>175</v>
      </c>
      <c r="BQ26" s="84">
        <v>33</v>
      </c>
      <c r="BR26" s="84">
        <v>17.399999999999999</v>
      </c>
      <c r="BS26" s="84" t="s">
        <v>175</v>
      </c>
      <c r="BT26" s="84"/>
      <c r="BU26" s="84">
        <v>84.599999999999994</v>
      </c>
      <c r="BV26" s="84">
        <v>15.4</v>
      </c>
      <c r="BW26" s="84" t="s">
        <v>175</v>
      </c>
      <c r="BX26" s="84"/>
      <c r="BY26" s="84">
        <v>129.19999999999999</v>
      </c>
      <c r="BZ26" s="84">
        <v>15.1</v>
      </c>
      <c r="CA26" s="84" t="s">
        <v>175</v>
      </c>
      <c r="CB26" s="84"/>
      <c r="CC26" s="84">
        <v>140</v>
      </c>
      <c r="CD26" s="84">
        <v>140</v>
      </c>
      <c r="CE26" s="84">
        <v>140</v>
      </c>
      <c r="CF26" s="84">
        <v>140</v>
      </c>
      <c r="CG26" s="84">
        <v>140</v>
      </c>
      <c r="CH26" s="84">
        <v>140</v>
      </c>
      <c r="CI26" s="84">
        <v>140</v>
      </c>
      <c r="CJ26" s="84">
        <v>140</v>
      </c>
    </row>
    <row r="27" ht="15.75" customHeight="1">
      <c r="A27" s="57" t="s">
        <v>37</v>
      </c>
      <c r="B27" s="51" t="s">
        <v>100</v>
      </c>
      <c r="C27" s="51" t="s">
        <v>437</v>
      </c>
      <c r="D27" s="57" t="s">
        <v>438</v>
      </c>
      <c r="E27" s="180" t="s">
        <v>439</v>
      </c>
      <c r="F27" s="51" t="s">
        <v>440</v>
      </c>
      <c r="H27" s="51" t="s">
        <v>315</v>
      </c>
      <c r="I27" s="51" t="s">
        <v>167</v>
      </c>
      <c r="J27" s="51" t="s">
        <v>168</v>
      </c>
      <c r="K27" s="51" t="s">
        <v>301</v>
      </c>
      <c r="O27" s="51" t="s">
        <v>408</v>
      </c>
      <c r="P27" s="51" t="s">
        <v>171</v>
      </c>
      <c r="Q27" s="51" t="s">
        <v>171</v>
      </c>
      <c r="T27" s="106" t="s">
        <v>174</v>
      </c>
      <c r="W27" s="64">
        <v>3.7999999999999998</v>
      </c>
      <c r="Y27" s="62">
        <f t="shared" si="48"/>
        <v>48</v>
      </c>
      <c r="Z27" s="62">
        <f t="shared" si="52"/>
        <v>23.280000000000001</v>
      </c>
      <c r="AA27" s="62"/>
      <c r="AB27" s="62"/>
      <c r="AC27" s="62">
        <f t="shared" si="49"/>
        <v>60</v>
      </c>
      <c r="AD27" s="62">
        <f t="shared" si="53"/>
        <v>21.600000000000001</v>
      </c>
      <c r="AE27" s="62"/>
      <c r="AF27" s="62"/>
      <c r="AG27" s="62">
        <f t="shared" si="50"/>
        <v>81.120000000000005</v>
      </c>
      <c r="AH27" s="62">
        <f t="shared" si="54"/>
        <v>19.199999999999999</v>
      </c>
      <c r="AI27" s="62"/>
      <c r="AJ27" s="62"/>
      <c r="AK27" s="62">
        <f t="shared" si="51"/>
        <v>168</v>
      </c>
      <c r="AL27" s="62">
        <f t="shared" si="55"/>
        <v>18.48</v>
      </c>
      <c r="BM27" s="62">
        <v>20</v>
      </c>
      <c r="BN27" s="62">
        <v>9.6999999999999993</v>
      </c>
      <c r="BO27" s="62" t="s">
        <v>175</v>
      </c>
      <c r="BQ27" s="62">
        <v>25</v>
      </c>
      <c r="BR27" s="62">
        <v>9</v>
      </c>
      <c r="BS27" s="62" t="s">
        <v>175</v>
      </c>
      <c r="BT27" s="62"/>
      <c r="BU27" s="62">
        <v>33.799999999999997</v>
      </c>
      <c r="BV27" s="62">
        <v>8</v>
      </c>
      <c r="BW27" s="62" t="s">
        <v>175</v>
      </c>
      <c r="BX27" s="62"/>
      <c r="BY27" s="62">
        <v>70</v>
      </c>
      <c r="BZ27" s="62">
        <v>7.7000000000000002</v>
      </c>
      <c r="CA27" s="62" t="s">
        <v>175</v>
      </c>
      <c r="CB27" s="62"/>
      <c r="CC27" s="62">
        <v>140</v>
      </c>
      <c r="CD27" s="62">
        <v>140</v>
      </c>
      <c r="CE27" s="62">
        <v>140</v>
      </c>
      <c r="CF27" s="62">
        <v>140</v>
      </c>
      <c r="CG27" s="62">
        <v>140</v>
      </c>
      <c r="CH27" s="62">
        <v>140</v>
      </c>
      <c r="CI27" s="62">
        <v>140</v>
      </c>
      <c r="CJ27" s="62">
        <v>140</v>
      </c>
    </row>
    <row r="28" ht="15.75" customHeight="1">
      <c r="A28" s="57" t="s">
        <v>37</v>
      </c>
      <c r="B28" s="51" t="s">
        <v>100</v>
      </c>
      <c r="C28" s="51" t="s">
        <v>441</v>
      </c>
      <c r="D28" s="57" t="s">
        <v>438</v>
      </c>
      <c r="E28" s="180" t="s">
        <v>439</v>
      </c>
      <c r="F28" s="51" t="s">
        <v>440</v>
      </c>
      <c r="H28" s="51" t="s">
        <v>315</v>
      </c>
      <c r="I28" s="51" t="s">
        <v>167</v>
      </c>
      <c r="J28" s="51" t="s">
        <v>168</v>
      </c>
      <c r="K28" s="51" t="s">
        <v>442</v>
      </c>
      <c r="O28" s="51" t="s">
        <v>408</v>
      </c>
      <c r="P28" s="51" t="s">
        <v>171</v>
      </c>
      <c r="Q28" s="51" t="s">
        <v>171</v>
      </c>
      <c r="T28" s="106" t="s">
        <v>174</v>
      </c>
      <c r="W28" s="64">
        <v>3.7999999999999998</v>
      </c>
      <c r="Y28" s="62">
        <f t="shared" si="48"/>
        <v>48</v>
      </c>
      <c r="Z28" s="62">
        <f t="shared" si="52"/>
        <v>23.280000000000001</v>
      </c>
      <c r="AA28" s="62"/>
      <c r="AB28" s="62"/>
      <c r="AC28" s="62">
        <f t="shared" si="49"/>
        <v>60</v>
      </c>
      <c r="AD28" s="62">
        <f t="shared" si="53"/>
        <v>21.600000000000001</v>
      </c>
      <c r="AE28" s="62"/>
      <c r="AF28" s="62"/>
      <c r="AG28" s="62">
        <f t="shared" si="50"/>
        <v>81.120000000000005</v>
      </c>
      <c r="AH28" s="62">
        <f t="shared" si="54"/>
        <v>19.199999999999999</v>
      </c>
      <c r="AI28" s="62"/>
      <c r="AJ28" s="62"/>
      <c r="AK28" s="62">
        <f t="shared" si="51"/>
        <v>168</v>
      </c>
      <c r="AL28" s="62">
        <f t="shared" si="55"/>
        <v>18.48</v>
      </c>
      <c r="BM28" s="62">
        <v>20</v>
      </c>
      <c r="BN28" s="62">
        <v>9.6999999999999993</v>
      </c>
      <c r="BO28" s="62" t="s">
        <v>175</v>
      </c>
      <c r="BQ28" s="62">
        <v>25</v>
      </c>
      <c r="BR28" s="62">
        <v>9</v>
      </c>
      <c r="BS28" s="62" t="s">
        <v>175</v>
      </c>
      <c r="BT28" s="62"/>
      <c r="BU28" s="62">
        <v>33.799999999999997</v>
      </c>
      <c r="BV28" s="62">
        <v>8</v>
      </c>
      <c r="BW28" s="62" t="s">
        <v>175</v>
      </c>
      <c r="BX28" s="62"/>
      <c r="BY28" s="62">
        <v>70</v>
      </c>
      <c r="BZ28" s="62">
        <v>7.7000000000000002</v>
      </c>
      <c r="CA28" s="62" t="s">
        <v>175</v>
      </c>
      <c r="CB28" s="62"/>
      <c r="CC28" s="62">
        <v>140</v>
      </c>
      <c r="CD28" s="62">
        <v>140</v>
      </c>
      <c r="CE28" s="62">
        <v>140</v>
      </c>
      <c r="CF28" s="62">
        <v>140</v>
      </c>
      <c r="CG28" s="62">
        <v>140</v>
      </c>
      <c r="CH28" s="62">
        <v>140</v>
      </c>
      <c r="CI28" s="62">
        <v>140</v>
      </c>
      <c r="CJ28" s="62">
        <v>140</v>
      </c>
    </row>
    <row r="29" ht="15.75" customHeight="1">
      <c r="A29" s="57" t="s">
        <v>37</v>
      </c>
      <c r="B29" s="51" t="s">
        <v>100</v>
      </c>
      <c r="C29" s="51" t="s">
        <v>443</v>
      </c>
      <c r="D29" s="57" t="s">
        <v>438</v>
      </c>
      <c r="E29" s="180" t="s">
        <v>439</v>
      </c>
      <c r="F29" s="51" t="s">
        <v>440</v>
      </c>
      <c r="H29" s="51" t="s">
        <v>315</v>
      </c>
      <c r="I29" s="51" t="s">
        <v>167</v>
      </c>
      <c r="J29" s="51" t="s">
        <v>177</v>
      </c>
      <c r="K29" s="51" t="s">
        <v>301</v>
      </c>
      <c r="O29" s="51" t="s">
        <v>408</v>
      </c>
      <c r="P29" s="51" t="s">
        <v>171</v>
      </c>
      <c r="Q29" s="51" t="s">
        <v>171</v>
      </c>
      <c r="T29" s="106" t="s">
        <v>174</v>
      </c>
      <c r="W29" s="64">
        <v>5.5999999999999996</v>
      </c>
      <c r="Y29" s="62">
        <f t="shared" si="48"/>
        <v>48</v>
      </c>
      <c r="Z29" s="62">
        <f t="shared" si="52"/>
        <v>33.359999999999999</v>
      </c>
      <c r="AA29" s="62"/>
      <c r="AB29" s="62"/>
      <c r="AC29" s="62">
        <f t="shared" si="49"/>
        <v>60</v>
      </c>
      <c r="AD29" s="62">
        <f t="shared" si="53"/>
        <v>27.839999999999996</v>
      </c>
      <c r="AE29" s="62"/>
      <c r="AF29" s="62"/>
      <c r="AG29" s="62">
        <f t="shared" si="50"/>
        <v>102</v>
      </c>
      <c r="AH29" s="62">
        <f t="shared" si="54"/>
        <v>25.920000000000002</v>
      </c>
      <c r="AI29" s="62"/>
      <c r="AJ29" s="62"/>
      <c r="AK29" s="62">
        <f t="shared" si="51"/>
        <v>264</v>
      </c>
      <c r="AL29" s="62">
        <f t="shared" si="55"/>
        <v>24</v>
      </c>
      <c r="BM29" s="62">
        <v>20</v>
      </c>
      <c r="BN29" s="62">
        <v>13.9</v>
      </c>
      <c r="BO29" s="62" t="s">
        <v>175</v>
      </c>
      <c r="BQ29" s="62">
        <v>25</v>
      </c>
      <c r="BR29" s="62">
        <v>11.6</v>
      </c>
      <c r="BS29" s="62" t="s">
        <v>175</v>
      </c>
      <c r="BT29" s="62"/>
      <c r="BU29" s="62">
        <v>42.5</v>
      </c>
      <c r="BV29" s="62">
        <v>10.800000000000001</v>
      </c>
      <c r="BW29" s="62" t="s">
        <v>175</v>
      </c>
      <c r="BX29" s="62"/>
      <c r="BY29" s="62">
        <v>110</v>
      </c>
      <c r="BZ29" s="62">
        <v>10</v>
      </c>
      <c r="CA29" s="62" t="s">
        <v>175</v>
      </c>
      <c r="CB29" s="62"/>
      <c r="CC29" s="62">
        <v>140</v>
      </c>
      <c r="CD29" s="62">
        <v>140</v>
      </c>
      <c r="CE29" s="62">
        <v>140</v>
      </c>
      <c r="CF29" s="62">
        <v>140</v>
      </c>
      <c r="CG29" s="62">
        <v>140</v>
      </c>
      <c r="CH29" s="62">
        <v>140</v>
      </c>
      <c r="CI29" s="62">
        <v>140</v>
      </c>
      <c r="CJ29" s="62">
        <v>140</v>
      </c>
    </row>
    <row r="30" ht="15.75" customHeight="1">
      <c r="A30" s="57" t="s">
        <v>37</v>
      </c>
      <c r="B30" s="51" t="s">
        <v>100</v>
      </c>
      <c r="C30" s="51" t="s">
        <v>444</v>
      </c>
      <c r="D30" s="57" t="s">
        <v>438</v>
      </c>
      <c r="E30" s="180" t="s">
        <v>439</v>
      </c>
      <c r="F30" s="51" t="s">
        <v>440</v>
      </c>
      <c r="H30" s="51" t="s">
        <v>315</v>
      </c>
      <c r="I30" s="51" t="s">
        <v>167</v>
      </c>
      <c r="J30" s="51" t="s">
        <v>177</v>
      </c>
      <c r="K30" s="51" t="s">
        <v>442</v>
      </c>
      <c r="O30" s="51" t="s">
        <v>408</v>
      </c>
      <c r="P30" s="51" t="s">
        <v>171</v>
      </c>
      <c r="Q30" s="51" t="s">
        <v>171</v>
      </c>
      <c r="T30" s="106" t="s">
        <v>174</v>
      </c>
      <c r="W30" s="64">
        <v>5.5999999999999996</v>
      </c>
      <c r="Y30" s="62">
        <f t="shared" si="48"/>
        <v>48</v>
      </c>
      <c r="Z30" s="62">
        <f t="shared" si="52"/>
        <v>33.359999999999999</v>
      </c>
      <c r="AA30" s="62"/>
      <c r="AB30" s="62"/>
      <c r="AC30" s="62">
        <f t="shared" si="49"/>
        <v>60</v>
      </c>
      <c r="AD30" s="62">
        <f t="shared" si="53"/>
        <v>27.839999999999996</v>
      </c>
      <c r="AE30" s="62"/>
      <c r="AF30" s="62"/>
      <c r="AG30" s="62">
        <f t="shared" si="50"/>
        <v>102</v>
      </c>
      <c r="AH30" s="62">
        <f t="shared" si="54"/>
        <v>25.920000000000002</v>
      </c>
      <c r="AI30" s="62"/>
      <c r="AJ30" s="62"/>
      <c r="AK30" s="62">
        <f t="shared" si="51"/>
        <v>264</v>
      </c>
      <c r="AL30" s="62">
        <f t="shared" si="55"/>
        <v>24</v>
      </c>
      <c r="BM30" s="62">
        <v>20</v>
      </c>
      <c r="BN30" s="62">
        <v>13.9</v>
      </c>
      <c r="BO30" s="62" t="s">
        <v>175</v>
      </c>
      <c r="BQ30" s="62">
        <v>25</v>
      </c>
      <c r="BR30" s="62">
        <v>11.6</v>
      </c>
      <c r="BS30" s="62" t="s">
        <v>175</v>
      </c>
      <c r="BT30" s="62"/>
      <c r="BU30" s="62">
        <v>42.5</v>
      </c>
      <c r="BV30" s="62">
        <v>10.800000000000001</v>
      </c>
      <c r="BW30" s="62" t="s">
        <v>175</v>
      </c>
      <c r="BX30" s="62"/>
      <c r="BY30" s="62">
        <v>110</v>
      </c>
      <c r="BZ30" s="62">
        <v>10</v>
      </c>
      <c r="CA30" s="62" t="s">
        <v>175</v>
      </c>
      <c r="CB30" s="62"/>
      <c r="CC30" s="62">
        <v>140</v>
      </c>
      <c r="CD30" s="62">
        <v>140</v>
      </c>
      <c r="CE30" s="62">
        <v>140</v>
      </c>
      <c r="CF30" s="62">
        <v>140</v>
      </c>
      <c r="CG30" s="62">
        <v>140</v>
      </c>
      <c r="CH30" s="62">
        <v>140</v>
      </c>
      <c r="CI30" s="62">
        <v>140</v>
      </c>
      <c r="CJ30" s="62">
        <v>140</v>
      </c>
    </row>
    <row r="31" s="76" customFormat="1" ht="15.75" customHeight="1">
      <c r="A31" s="77" t="s">
        <v>37</v>
      </c>
      <c r="B31" s="76" t="s">
        <v>100</v>
      </c>
      <c r="C31" s="76" t="s">
        <v>445</v>
      </c>
      <c r="D31" s="77" t="s">
        <v>438</v>
      </c>
      <c r="E31" s="180" t="s">
        <v>439</v>
      </c>
      <c r="F31" s="76" t="s">
        <v>440</v>
      </c>
      <c r="G31" s="76" t="s">
        <v>165</v>
      </c>
      <c r="H31" s="76" t="s">
        <v>166</v>
      </c>
      <c r="I31" s="76" t="s">
        <v>167</v>
      </c>
      <c r="J31" s="76" t="s">
        <v>300</v>
      </c>
      <c r="K31" s="76" t="s">
        <v>301</v>
      </c>
      <c r="O31" s="76" t="s">
        <v>408</v>
      </c>
      <c r="P31" s="76" t="s">
        <v>171</v>
      </c>
      <c r="Q31" s="76" t="s">
        <v>171</v>
      </c>
      <c r="R31" s="77" t="s">
        <v>446</v>
      </c>
      <c r="T31" s="99" t="s">
        <v>174</v>
      </c>
      <c r="W31" s="86">
        <v>4</v>
      </c>
      <c r="Y31" s="84">
        <f t="shared" si="48"/>
        <v>67.679999999999993</v>
      </c>
      <c r="Z31" s="84">
        <f t="shared" si="52"/>
        <v>35.519999999999996</v>
      </c>
      <c r="AA31" s="84"/>
      <c r="AB31" s="84"/>
      <c r="AC31" s="84">
        <f t="shared" si="49"/>
        <v>55.200000000000003</v>
      </c>
      <c r="AD31" s="84">
        <f t="shared" si="53"/>
        <v>30.960000000000001</v>
      </c>
      <c r="AE31" s="84"/>
      <c r="AF31" s="84"/>
      <c r="AG31" s="84">
        <f t="shared" si="50"/>
        <v>82.319999999999993</v>
      </c>
      <c r="AH31" s="84">
        <f t="shared" si="54"/>
        <v>29.039999999999999</v>
      </c>
      <c r="AI31" s="84"/>
      <c r="AJ31" s="84"/>
      <c r="AK31" s="84">
        <f t="shared" si="51"/>
        <v>245.51999999999998</v>
      </c>
      <c r="AL31" s="84">
        <f t="shared" si="55"/>
        <v>27.120000000000001</v>
      </c>
      <c r="BM31" s="84">
        <v>28.199999999999999</v>
      </c>
      <c r="BN31" s="84">
        <v>14.800000000000001</v>
      </c>
      <c r="BO31" s="84" t="s">
        <v>175</v>
      </c>
      <c r="BQ31" s="84">
        <v>23</v>
      </c>
      <c r="BR31" s="84">
        <v>12.9</v>
      </c>
      <c r="BS31" s="84" t="s">
        <v>175</v>
      </c>
      <c r="BT31" s="84"/>
      <c r="BU31" s="84">
        <v>34.299999999999997</v>
      </c>
      <c r="BV31" s="84">
        <v>12.1</v>
      </c>
      <c r="BW31" s="84" t="s">
        <v>175</v>
      </c>
      <c r="BX31" s="84"/>
      <c r="BY31" s="84">
        <v>102.3</v>
      </c>
      <c r="BZ31" s="84">
        <v>11.300000000000001</v>
      </c>
      <c r="CA31" s="84" t="s">
        <v>175</v>
      </c>
      <c r="CB31" s="84"/>
      <c r="CC31" s="84">
        <v>140</v>
      </c>
      <c r="CD31" s="84">
        <v>140</v>
      </c>
      <c r="CE31" s="84">
        <v>140</v>
      </c>
      <c r="CF31" s="84">
        <v>140</v>
      </c>
      <c r="CG31" s="84">
        <v>140</v>
      </c>
      <c r="CH31" s="84">
        <v>140</v>
      </c>
      <c r="CI31" s="84">
        <v>140</v>
      </c>
      <c r="CJ31" s="84">
        <v>140</v>
      </c>
    </row>
    <row r="32" s="76" customFormat="1" ht="15.75" customHeight="1">
      <c r="A32" s="77" t="s">
        <v>37</v>
      </c>
      <c r="B32" s="76" t="s">
        <v>100</v>
      </c>
      <c r="C32" s="76" t="s">
        <v>447</v>
      </c>
      <c r="D32" s="77" t="s">
        <v>438</v>
      </c>
      <c r="E32" s="180" t="s">
        <v>439</v>
      </c>
      <c r="F32" s="76" t="s">
        <v>440</v>
      </c>
      <c r="G32" s="76" t="s">
        <v>165</v>
      </c>
      <c r="H32" s="76" t="s">
        <v>166</v>
      </c>
      <c r="I32" s="76" t="s">
        <v>167</v>
      </c>
      <c r="J32" s="76" t="s">
        <v>300</v>
      </c>
      <c r="K32" s="76" t="s">
        <v>442</v>
      </c>
      <c r="O32" s="76" t="s">
        <v>408</v>
      </c>
      <c r="P32" s="76" t="s">
        <v>171</v>
      </c>
      <c r="Q32" s="76" t="s">
        <v>171</v>
      </c>
      <c r="R32" s="77" t="s">
        <v>446</v>
      </c>
      <c r="T32" s="99" t="s">
        <v>174</v>
      </c>
      <c r="W32" s="86">
        <v>4</v>
      </c>
      <c r="Y32" s="84">
        <f t="shared" si="48"/>
        <v>67.679999999999993</v>
      </c>
      <c r="Z32" s="84">
        <f t="shared" si="52"/>
        <v>35.519999999999996</v>
      </c>
      <c r="AA32" s="84"/>
      <c r="AB32" s="84"/>
      <c r="AC32" s="84">
        <f t="shared" si="49"/>
        <v>55.200000000000003</v>
      </c>
      <c r="AD32" s="84">
        <f t="shared" si="53"/>
        <v>30.960000000000001</v>
      </c>
      <c r="AE32" s="84"/>
      <c r="AF32" s="84"/>
      <c r="AG32" s="84">
        <f t="shared" si="50"/>
        <v>82.319999999999993</v>
      </c>
      <c r="AH32" s="84">
        <f t="shared" si="54"/>
        <v>29.039999999999999</v>
      </c>
      <c r="AI32" s="84"/>
      <c r="AJ32" s="84"/>
      <c r="AK32" s="84">
        <f t="shared" si="51"/>
        <v>245.51999999999998</v>
      </c>
      <c r="AL32" s="84">
        <f t="shared" si="55"/>
        <v>27.120000000000001</v>
      </c>
      <c r="BM32" s="84">
        <v>28.199999999999999</v>
      </c>
      <c r="BN32" s="84">
        <v>14.800000000000001</v>
      </c>
      <c r="BO32" s="84" t="s">
        <v>175</v>
      </c>
      <c r="BQ32" s="84">
        <v>23</v>
      </c>
      <c r="BR32" s="84">
        <v>12.9</v>
      </c>
      <c r="BS32" s="84" t="s">
        <v>175</v>
      </c>
      <c r="BT32" s="84"/>
      <c r="BU32" s="84">
        <v>34.299999999999997</v>
      </c>
      <c r="BV32" s="84">
        <v>12.1</v>
      </c>
      <c r="BW32" s="84" t="s">
        <v>175</v>
      </c>
      <c r="BX32" s="84"/>
      <c r="BY32" s="84">
        <v>102.3</v>
      </c>
      <c r="BZ32" s="84">
        <v>11.300000000000001</v>
      </c>
      <c r="CA32" s="84" t="s">
        <v>175</v>
      </c>
      <c r="CB32" s="84"/>
      <c r="CC32" s="84">
        <v>140</v>
      </c>
      <c r="CD32" s="84">
        <v>140</v>
      </c>
      <c r="CE32" s="84">
        <v>140</v>
      </c>
      <c r="CF32" s="84">
        <v>140</v>
      </c>
      <c r="CG32" s="84">
        <v>140</v>
      </c>
      <c r="CH32" s="84">
        <v>140</v>
      </c>
      <c r="CI32" s="84">
        <v>140</v>
      </c>
      <c r="CJ32" s="84">
        <v>140</v>
      </c>
    </row>
    <row r="33" s="76" customFormat="1" ht="15.75" customHeight="1">
      <c r="A33" s="77" t="s">
        <v>37</v>
      </c>
      <c r="B33" s="76" t="s">
        <v>100</v>
      </c>
      <c r="C33" s="76" t="s">
        <v>448</v>
      </c>
      <c r="D33" s="77" t="s">
        <v>438</v>
      </c>
      <c r="E33" s="180" t="s">
        <v>439</v>
      </c>
      <c r="F33" s="76" t="s">
        <v>440</v>
      </c>
      <c r="G33" s="76" t="s">
        <v>165</v>
      </c>
      <c r="H33" s="76" t="s">
        <v>166</v>
      </c>
      <c r="I33" s="76" t="s">
        <v>167</v>
      </c>
      <c r="J33" s="76" t="s">
        <v>286</v>
      </c>
      <c r="K33" s="76" t="s">
        <v>301</v>
      </c>
      <c r="O33" s="76" t="s">
        <v>408</v>
      </c>
      <c r="P33" s="76" t="s">
        <v>171</v>
      </c>
      <c r="Q33" s="76" t="s">
        <v>171</v>
      </c>
      <c r="R33" s="77" t="s">
        <v>446</v>
      </c>
      <c r="T33" s="99" t="s">
        <v>174</v>
      </c>
      <c r="W33" s="86">
        <v>5.0999999999999996</v>
      </c>
      <c r="Y33" s="84">
        <f t="shared" si="48"/>
        <v>72</v>
      </c>
      <c r="Z33" s="84">
        <f t="shared" si="52"/>
        <v>36.480000000000004</v>
      </c>
      <c r="AA33" s="84"/>
      <c r="AB33" s="84"/>
      <c r="AC33" s="84">
        <f t="shared" si="49"/>
        <v>60</v>
      </c>
      <c r="AD33" s="84">
        <f t="shared" si="53"/>
        <v>33.359999999999999</v>
      </c>
      <c r="AE33" s="84"/>
      <c r="AF33" s="84"/>
      <c r="AG33" s="84">
        <f t="shared" si="50"/>
        <v>144</v>
      </c>
      <c r="AH33" s="84">
        <f t="shared" si="54"/>
        <v>31.199999999999999</v>
      </c>
      <c r="AI33" s="84"/>
      <c r="AJ33" s="84"/>
      <c r="AK33" s="84">
        <f t="shared" si="51"/>
        <v>268.07999999999998</v>
      </c>
      <c r="AL33" s="84">
        <f t="shared" si="55"/>
        <v>30.720000000000002</v>
      </c>
      <c r="BM33" s="84">
        <v>30</v>
      </c>
      <c r="BN33" s="84">
        <v>15.199999999999999</v>
      </c>
      <c r="BO33" s="84" t="s">
        <v>175</v>
      </c>
      <c r="BQ33" s="84">
        <v>25</v>
      </c>
      <c r="BR33" s="84">
        <v>13.9</v>
      </c>
      <c r="BS33" s="84" t="s">
        <v>175</v>
      </c>
      <c r="BT33" s="84"/>
      <c r="BU33" s="84">
        <v>60</v>
      </c>
      <c r="BV33" s="84">
        <v>13</v>
      </c>
      <c r="BW33" s="84" t="s">
        <v>175</v>
      </c>
      <c r="BX33" s="84"/>
      <c r="BY33" s="84">
        <v>111.7</v>
      </c>
      <c r="BZ33" s="84">
        <v>12.800000000000001</v>
      </c>
      <c r="CA33" s="84" t="s">
        <v>175</v>
      </c>
      <c r="CB33" s="84"/>
      <c r="CC33" s="84">
        <v>140</v>
      </c>
      <c r="CD33" s="84">
        <v>140</v>
      </c>
      <c r="CE33" s="84">
        <v>140</v>
      </c>
      <c r="CF33" s="84">
        <v>140</v>
      </c>
      <c r="CG33" s="84">
        <v>140</v>
      </c>
      <c r="CH33" s="84">
        <v>140</v>
      </c>
      <c r="CI33" s="84">
        <v>140</v>
      </c>
      <c r="CJ33" s="84">
        <v>140</v>
      </c>
    </row>
    <row r="34" s="76" customFormat="1" ht="15.75" customHeight="1">
      <c r="A34" s="77" t="s">
        <v>37</v>
      </c>
      <c r="B34" s="76" t="s">
        <v>100</v>
      </c>
      <c r="C34" s="76" t="s">
        <v>449</v>
      </c>
      <c r="D34" s="77" t="s">
        <v>438</v>
      </c>
      <c r="E34" s="180" t="s">
        <v>439</v>
      </c>
      <c r="F34" s="76" t="s">
        <v>440</v>
      </c>
      <c r="G34" s="76" t="s">
        <v>165</v>
      </c>
      <c r="H34" s="76" t="s">
        <v>166</v>
      </c>
      <c r="I34" s="76" t="s">
        <v>167</v>
      </c>
      <c r="J34" s="76" t="s">
        <v>286</v>
      </c>
      <c r="K34" s="76" t="s">
        <v>442</v>
      </c>
      <c r="O34" s="76" t="s">
        <v>408</v>
      </c>
      <c r="P34" s="76" t="s">
        <v>171</v>
      </c>
      <c r="Q34" s="76" t="s">
        <v>171</v>
      </c>
      <c r="R34" s="77" t="s">
        <v>446</v>
      </c>
      <c r="T34" s="99" t="s">
        <v>174</v>
      </c>
      <c r="W34" s="86">
        <v>5.0999999999999996</v>
      </c>
      <c r="Y34" s="84">
        <f t="shared" si="48"/>
        <v>72</v>
      </c>
      <c r="Z34" s="84">
        <f t="shared" si="52"/>
        <v>36.480000000000004</v>
      </c>
      <c r="AA34" s="84"/>
      <c r="AB34" s="84"/>
      <c r="AC34" s="84">
        <f t="shared" si="49"/>
        <v>60</v>
      </c>
      <c r="AD34" s="84">
        <f t="shared" si="53"/>
        <v>33.359999999999999</v>
      </c>
      <c r="AE34" s="84"/>
      <c r="AF34" s="84"/>
      <c r="AG34" s="84">
        <f t="shared" si="50"/>
        <v>144</v>
      </c>
      <c r="AH34" s="84">
        <f t="shared" si="54"/>
        <v>31.199999999999999</v>
      </c>
      <c r="AI34" s="84"/>
      <c r="AJ34" s="84"/>
      <c r="AK34" s="84">
        <f t="shared" si="51"/>
        <v>268.07999999999998</v>
      </c>
      <c r="AL34" s="84">
        <f t="shared" si="55"/>
        <v>30.720000000000002</v>
      </c>
      <c r="BM34" s="84">
        <v>30</v>
      </c>
      <c r="BN34" s="84">
        <v>15.199999999999999</v>
      </c>
      <c r="BO34" s="84" t="s">
        <v>175</v>
      </c>
      <c r="BQ34" s="84">
        <v>25</v>
      </c>
      <c r="BR34" s="84">
        <v>13.9</v>
      </c>
      <c r="BS34" s="84" t="s">
        <v>175</v>
      </c>
      <c r="BT34" s="84"/>
      <c r="BU34" s="84">
        <v>60</v>
      </c>
      <c r="BV34" s="84">
        <v>13</v>
      </c>
      <c r="BW34" s="84" t="s">
        <v>175</v>
      </c>
      <c r="BX34" s="84"/>
      <c r="BY34" s="84">
        <v>111.7</v>
      </c>
      <c r="BZ34" s="84">
        <v>12.800000000000001</v>
      </c>
      <c r="CA34" s="84" t="s">
        <v>175</v>
      </c>
      <c r="CB34" s="84"/>
      <c r="CC34" s="84">
        <v>140</v>
      </c>
      <c r="CD34" s="84">
        <v>140</v>
      </c>
      <c r="CE34" s="84">
        <v>140</v>
      </c>
      <c r="CF34" s="84">
        <v>140</v>
      </c>
      <c r="CG34" s="84">
        <v>140</v>
      </c>
      <c r="CH34" s="84">
        <v>140</v>
      </c>
      <c r="CI34" s="84">
        <v>140</v>
      </c>
      <c r="CJ34" s="84">
        <v>140</v>
      </c>
    </row>
    <row r="35" s="76" customFormat="1" ht="15.75" customHeight="1">
      <c r="A35" s="77" t="s">
        <v>37</v>
      </c>
      <c r="B35" s="76" t="s">
        <v>100</v>
      </c>
      <c r="C35" s="76" t="s">
        <v>450</v>
      </c>
      <c r="D35" s="77" t="s">
        <v>438</v>
      </c>
      <c r="E35" s="180" t="s">
        <v>439</v>
      </c>
      <c r="F35" s="76" t="s">
        <v>440</v>
      </c>
      <c r="G35" s="76" t="s">
        <v>165</v>
      </c>
      <c r="H35" s="76" t="s">
        <v>166</v>
      </c>
      <c r="I35" s="76" t="s">
        <v>167</v>
      </c>
      <c r="J35" s="76" t="s">
        <v>183</v>
      </c>
      <c r="K35" s="76" t="s">
        <v>301</v>
      </c>
      <c r="O35" s="76" t="s">
        <v>408</v>
      </c>
      <c r="P35" s="76" t="s">
        <v>171</v>
      </c>
      <c r="Q35" s="76" t="s">
        <v>171</v>
      </c>
      <c r="R35" s="77" t="s">
        <v>446</v>
      </c>
      <c r="T35" s="99" t="s">
        <v>174</v>
      </c>
      <c r="W35" s="86">
        <v>6</v>
      </c>
      <c r="Y35" s="84">
        <f t="shared" si="48"/>
        <v>71.280000000000001</v>
      </c>
      <c r="Z35" s="84">
        <f t="shared" si="52"/>
        <v>39.359999999999999</v>
      </c>
      <c r="AA35" s="84"/>
      <c r="AB35" s="84"/>
      <c r="AC35" s="84">
        <f t="shared" si="49"/>
        <v>60</v>
      </c>
      <c r="AD35" s="84">
        <f t="shared" si="53"/>
        <v>37.439999999999998</v>
      </c>
      <c r="AE35" s="84"/>
      <c r="AF35" s="84"/>
      <c r="AG35" s="84">
        <f t="shared" si="50"/>
        <v>144</v>
      </c>
      <c r="AH35" s="84">
        <f t="shared" si="54"/>
        <v>33.600000000000001</v>
      </c>
      <c r="AI35" s="84"/>
      <c r="AJ35" s="84"/>
      <c r="AK35" s="84">
        <f t="shared" si="51"/>
        <v>324.72000000000003</v>
      </c>
      <c r="AL35" s="84">
        <f t="shared" si="55"/>
        <v>32.399999999999999</v>
      </c>
      <c r="BM35" s="84">
        <v>29.699999999999999</v>
      </c>
      <c r="BN35" s="84">
        <v>16.399999999999999</v>
      </c>
      <c r="BO35" s="84" t="s">
        <v>175</v>
      </c>
      <c r="BQ35" s="84">
        <v>25</v>
      </c>
      <c r="BR35" s="84">
        <v>15.6</v>
      </c>
      <c r="BS35" s="84" t="s">
        <v>175</v>
      </c>
      <c r="BT35" s="84"/>
      <c r="BU35" s="84">
        <v>60</v>
      </c>
      <c r="BV35" s="84">
        <v>14</v>
      </c>
      <c r="BW35" s="84" t="s">
        <v>175</v>
      </c>
      <c r="BX35" s="84"/>
      <c r="BY35" s="84">
        <v>135.30000000000001</v>
      </c>
      <c r="BZ35" s="84">
        <v>13.5</v>
      </c>
      <c r="CA35" s="84" t="s">
        <v>175</v>
      </c>
      <c r="CB35" s="84"/>
      <c r="CC35" s="84">
        <v>140</v>
      </c>
      <c r="CD35" s="84">
        <v>140</v>
      </c>
      <c r="CE35" s="84">
        <v>140</v>
      </c>
      <c r="CF35" s="84">
        <v>140</v>
      </c>
      <c r="CG35" s="84">
        <v>140</v>
      </c>
      <c r="CH35" s="84">
        <v>140</v>
      </c>
      <c r="CI35" s="84">
        <v>140</v>
      </c>
      <c r="CJ35" s="84">
        <v>140</v>
      </c>
    </row>
    <row r="36" s="76" customFormat="1" ht="15.75" customHeight="1">
      <c r="A36" s="77" t="s">
        <v>37</v>
      </c>
      <c r="B36" s="76" t="s">
        <v>100</v>
      </c>
      <c r="C36" s="76" t="s">
        <v>451</v>
      </c>
      <c r="D36" s="77" t="s">
        <v>438</v>
      </c>
      <c r="E36" s="180" t="s">
        <v>439</v>
      </c>
      <c r="F36" s="76" t="s">
        <v>440</v>
      </c>
      <c r="G36" s="76" t="s">
        <v>165</v>
      </c>
      <c r="H36" s="76" t="s">
        <v>166</v>
      </c>
      <c r="I36" s="76" t="s">
        <v>167</v>
      </c>
      <c r="J36" s="76" t="s">
        <v>183</v>
      </c>
      <c r="K36" s="76" t="s">
        <v>442</v>
      </c>
      <c r="O36" s="76" t="s">
        <v>408</v>
      </c>
      <c r="P36" s="76" t="s">
        <v>171</v>
      </c>
      <c r="Q36" s="76" t="s">
        <v>171</v>
      </c>
      <c r="R36" s="77" t="s">
        <v>446</v>
      </c>
      <c r="T36" s="99" t="s">
        <v>174</v>
      </c>
      <c r="W36" s="86">
        <v>6</v>
      </c>
      <c r="Y36" s="84">
        <f t="shared" si="48"/>
        <v>71.280000000000001</v>
      </c>
      <c r="Z36" s="84">
        <f t="shared" si="52"/>
        <v>39.359999999999999</v>
      </c>
      <c r="AA36" s="84"/>
      <c r="AB36" s="84"/>
      <c r="AC36" s="84">
        <f t="shared" si="49"/>
        <v>60</v>
      </c>
      <c r="AD36" s="84">
        <f t="shared" si="53"/>
        <v>37.439999999999998</v>
      </c>
      <c r="AE36" s="84"/>
      <c r="AF36" s="84"/>
      <c r="AG36" s="84">
        <f t="shared" si="50"/>
        <v>144</v>
      </c>
      <c r="AH36" s="84">
        <f t="shared" si="54"/>
        <v>33.600000000000001</v>
      </c>
      <c r="AI36" s="84"/>
      <c r="AJ36" s="84"/>
      <c r="AK36" s="84">
        <f t="shared" si="51"/>
        <v>324.72000000000003</v>
      </c>
      <c r="AL36" s="84">
        <f t="shared" si="55"/>
        <v>32.399999999999999</v>
      </c>
      <c r="BM36" s="84">
        <v>29.699999999999999</v>
      </c>
      <c r="BN36" s="84">
        <v>16.399999999999999</v>
      </c>
      <c r="BO36" s="84" t="s">
        <v>175</v>
      </c>
      <c r="BQ36" s="84">
        <v>25</v>
      </c>
      <c r="BR36" s="84">
        <v>15.6</v>
      </c>
      <c r="BS36" s="84" t="s">
        <v>175</v>
      </c>
      <c r="BT36" s="84"/>
      <c r="BU36" s="84">
        <v>60</v>
      </c>
      <c r="BV36" s="84">
        <v>14</v>
      </c>
      <c r="BW36" s="84" t="s">
        <v>175</v>
      </c>
      <c r="BX36" s="84"/>
      <c r="BY36" s="84">
        <v>135.30000000000001</v>
      </c>
      <c r="BZ36" s="84">
        <v>13.5</v>
      </c>
      <c r="CA36" s="84" t="s">
        <v>175</v>
      </c>
      <c r="CB36" s="84"/>
      <c r="CC36" s="84">
        <v>140</v>
      </c>
      <c r="CD36" s="84">
        <v>140</v>
      </c>
      <c r="CE36" s="84">
        <v>140</v>
      </c>
      <c r="CF36" s="84">
        <v>140</v>
      </c>
      <c r="CG36" s="84">
        <v>140</v>
      </c>
      <c r="CH36" s="84">
        <v>140</v>
      </c>
      <c r="CI36" s="84">
        <v>140</v>
      </c>
      <c r="CJ36" s="84">
        <v>140</v>
      </c>
    </row>
    <row r="37" s="76" customFormat="1" ht="15.75" customHeight="1">
      <c r="A37" s="77" t="s">
        <v>37</v>
      </c>
      <c r="B37" s="76" t="s">
        <v>100</v>
      </c>
      <c r="C37" s="76" t="s">
        <v>452</v>
      </c>
      <c r="D37" s="77" t="s">
        <v>438</v>
      </c>
      <c r="E37" s="180" t="s">
        <v>439</v>
      </c>
      <c r="F37" s="76" t="s">
        <v>440</v>
      </c>
      <c r="G37" s="76" t="s">
        <v>165</v>
      </c>
      <c r="H37" s="76" t="s">
        <v>166</v>
      </c>
      <c r="I37" s="76" t="s">
        <v>167</v>
      </c>
      <c r="J37" s="76" t="s">
        <v>168</v>
      </c>
      <c r="K37" s="76" t="s">
        <v>301</v>
      </c>
      <c r="O37" s="76" t="s">
        <v>408</v>
      </c>
      <c r="P37" s="76" t="s">
        <v>171</v>
      </c>
      <c r="Q37" s="76" t="s">
        <v>171</v>
      </c>
      <c r="R37" s="77" t="s">
        <v>446</v>
      </c>
      <c r="T37" s="99" t="s">
        <v>174</v>
      </c>
      <c r="W37" s="86">
        <v>7.5</v>
      </c>
      <c r="Y37" s="84">
        <f t="shared" si="48"/>
        <v>73.920000000000002</v>
      </c>
      <c r="Z37" s="84">
        <f t="shared" si="52"/>
        <v>55.679999999999993</v>
      </c>
      <c r="AA37" s="84"/>
      <c r="AB37" s="84"/>
      <c r="AC37" s="84">
        <f t="shared" si="49"/>
        <v>63.120000000000005</v>
      </c>
      <c r="AD37" s="84">
        <f t="shared" si="53"/>
        <v>45.120000000000005</v>
      </c>
      <c r="AE37" s="84"/>
      <c r="AF37" s="84"/>
      <c r="AG37" s="84">
        <f t="shared" si="50"/>
        <v>134.64000000000001</v>
      </c>
      <c r="AH37" s="84">
        <f t="shared" si="54"/>
        <v>45.600000000000001</v>
      </c>
      <c r="AI37" s="84"/>
      <c r="AJ37" s="84"/>
      <c r="AK37" s="84">
        <f t="shared" si="51"/>
        <v>260.39999999999998</v>
      </c>
      <c r="AL37" s="84">
        <f t="shared" si="55"/>
        <v>45.120000000000005</v>
      </c>
      <c r="BM37" s="84">
        <v>30.800000000000001</v>
      </c>
      <c r="BN37" s="84">
        <v>23.199999999999999</v>
      </c>
      <c r="BO37" s="84" t="s">
        <v>175</v>
      </c>
      <c r="BQ37" s="84">
        <v>26.300000000000001</v>
      </c>
      <c r="BR37" s="84">
        <v>18.800000000000001</v>
      </c>
      <c r="BS37" s="84" t="s">
        <v>175</v>
      </c>
      <c r="BT37" s="84"/>
      <c r="BU37" s="84">
        <v>56.100000000000001</v>
      </c>
      <c r="BV37" s="84">
        <v>19</v>
      </c>
      <c r="BW37" s="84" t="s">
        <v>175</v>
      </c>
      <c r="BX37" s="84"/>
      <c r="BY37" s="84">
        <v>108.5</v>
      </c>
      <c r="BZ37" s="84">
        <v>18.800000000000001</v>
      </c>
      <c r="CA37" s="84" t="s">
        <v>175</v>
      </c>
      <c r="CB37" s="84"/>
      <c r="CC37" s="84">
        <v>140</v>
      </c>
      <c r="CD37" s="84">
        <v>140</v>
      </c>
      <c r="CE37" s="84">
        <v>140</v>
      </c>
      <c r="CF37" s="84">
        <v>140</v>
      </c>
      <c r="CG37" s="84">
        <v>140</v>
      </c>
      <c r="CH37" s="84">
        <v>140</v>
      </c>
      <c r="CI37" s="84">
        <v>140</v>
      </c>
      <c r="CJ37" s="84">
        <v>140</v>
      </c>
    </row>
    <row r="38" s="76" customFormat="1" ht="15.75" customHeight="1">
      <c r="A38" s="77" t="s">
        <v>37</v>
      </c>
      <c r="B38" s="76" t="s">
        <v>100</v>
      </c>
      <c r="C38" s="76" t="s">
        <v>453</v>
      </c>
      <c r="D38" s="77" t="s">
        <v>438</v>
      </c>
      <c r="E38" s="180" t="s">
        <v>439</v>
      </c>
      <c r="F38" s="76" t="s">
        <v>440</v>
      </c>
      <c r="G38" s="76" t="s">
        <v>165</v>
      </c>
      <c r="H38" s="76" t="s">
        <v>166</v>
      </c>
      <c r="I38" s="76" t="s">
        <v>167</v>
      </c>
      <c r="J38" s="76" t="s">
        <v>168</v>
      </c>
      <c r="K38" s="76" t="s">
        <v>442</v>
      </c>
      <c r="O38" s="76" t="s">
        <v>408</v>
      </c>
      <c r="P38" s="76" t="s">
        <v>171</v>
      </c>
      <c r="Q38" s="76" t="s">
        <v>171</v>
      </c>
      <c r="R38" s="77" t="s">
        <v>446</v>
      </c>
      <c r="T38" s="99" t="s">
        <v>174</v>
      </c>
      <c r="W38" s="86">
        <v>7.5</v>
      </c>
      <c r="Y38" s="84">
        <f t="shared" si="48"/>
        <v>73.920000000000002</v>
      </c>
      <c r="Z38" s="84">
        <f t="shared" si="52"/>
        <v>55.679999999999993</v>
      </c>
      <c r="AA38" s="84"/>
      <c r="AB38" s="84"/>
      <c r="AC38" s="84">
        <f t="shared" si="49"/>
        <v>63.120000000000005</v>
      </c>
      <c r="AD38" s="84">
        <f t="shared" si="53"/>
        <v>45.120000000000005</v>
      </c>
      <c r="AE38" s="84"/>
      <c r="AF38" s="84"/>
      <c r="AG38" s="84">
        <f t="shared" si="50"/>
        <v>134.64000000000001</v>
      </c>
      <c r="AH38" s="84">
        <f t="shared" si="54"/>
        <v>45.600000000000001</v>
      </c>
      <c r="AI38" s="84"/>
      <c r="AJ38" s="84"/>
      <c r="AK38" s="84">
        <f t="shared" si="51"/>
        <v>260.39999999999998</v>
      </c>
      <c r="AL38" s="84">
        <f t="shared" si="55"/>
        <v>45.120000000000005</v>
      </c>
      <c r="BM38" s="84">
        <v>30.800000000000001</v>
      </c>
      <c r="BN38" s="84">
        <v>23.199999999999999</v>
      </c>
      <c r="BO38" s="84" t="s">
        <v>175</v>
      </c>
      <c r="BQ38" s="84">
        <v>26.300000000000001</v>
      </c>
      <c r="BR38" s="84">
        <v>18.800000000000001</v>
      </c>
      <c r="BS38" s="84" t="s">
        <v>175</v>
      </c>
      <c r="BT38" s="84"/>
      <c r="BU38" s="84">
        <v>56.100000000000001</v>
      </c>
      <c r="BV38" s="84">
        <v>19</v>
      </c>
      <c r="BW38" s="84" t="s">
        <v>175</v>
      </c>
      <c r="BX38" s="84"/>
      <c r="BY38" s="84">
        <v>108.5</v>
      </c>
      <c r="BZ38" s="84">
        <v>18.800000000000001</v>
      </c>
      <c r="CA38" s="84" t="s">
        <v>175</v>
      </c>
      <c r="CB38" s="84"/>
      <c r="CC38" s="84">
        <v>140</v>
      </c>
      <c r="CD38" s="84">
        <v>140</v>
      </c>
      <c r="CE38" s="84">
        <v>140</v>
      </c>
      <c r="CF38" s="84">
        <v>140</v>
      </c>
      <c r="CG38" s="84">
        <v>140</v>
      </c>
      <c r="CH38" s="84">
        <v>140</v>
      </c>
      <c r="CI38" s="84">
        <v>140</v>
      </c>
      <c r="CJ38" s="84">
        <v>140</v>
      </c>
    </row>
    <row r="39" ht="15.75" customHeight="1">
      <c r="A39" s="57" t="s">
        <v>37</v>
      </c>
      <c r="B39" s="51" t="s">
        <v>100</v>
      </c>
      <c r="C39" s="51" t="s">
        <v>454</v>
      </c>
      <c r="D39" s="57" t="s">
        <v>438</v>
      </c>
      <c r="E39" s="180" t="s">
        <v>439</v>
      </c>
      <c r="F39" s="51" t="s">
        <v>455</v>
      </c>
      <c r="G39" s="51" t="s">
        <v>372</v>
      </c>
      <c r="H39" s="51" t="s">
        <v>182</v>
      </c>
      <c r="I39" s="51" t="s">
        <v>167</v>
      </c>
      <c r="J39" s="51" t="s">
        <v>300</v>
      </c>
      <c r="K39" s="51" t="s">
        <v>301</v>
      </c>
      <c r="O39" s="51" t="s">
        <v>408</v>
      </c>
      <c r="P39" s="51" t="s">
        <v>171</v>
      </c>
      <c r="Q39" s="51" t="s">
        <v>171</v>
      </c>
      <c r="R39" s="57" t="s">
        <v>426</v>
      </c>
      <c r="T39" s="106" t="s">
        <v>174</v>
      </c>
      <c r="W39" s="64">
        <v>5.7000000000000002</v>
      </c>
      <c r="Y39" s="62">
        <f t="shared" si="48"/>
        <v>80.159999999999997</v>
      </c>
      <c r="Z39" s="62">
        <f t="shared" si="52"/>
        <v>48</v>
      </c>
      <c r="AA39" s="62"/>
      <c r="AB39" s="62"/>
      <c r="AC39" s="62">
        <f t="shared" si="49"/>
        <v>84</v>
      </c>
      <c r="AD39" s="62">
        <f t="shared" si="53"/>
        <v>42</v>
      </c>
      <c r="AE39" s="62"/>
      <c r="AF39" s="62"/>
      <c r="AG39" s="62">
        <f t="shared" si="50"/>
        <v>134.40000000000001</v>
      </c>
      <c r="AH39" s="62">
        <f t="shared" si="54"/>
        <v>40.32</v>
      </c>
      <c r="AI39" s="62"/>
      <c r="AJ39" s="62"/>
      <c r="AK39" s="62">
        <f t="shared" si="51"/>
        <v>396.72000000000003</v>
      </c>
      <c r="AL39" s="62">
        <f t="shared" si="55"/>
        <v>39.359999999999999</v>
      </c>
      <c r="BM39" s="62">
        <v>33.399999999999999</v>
      </c>
      <c r="BN39" s="62">
        <v>20</v>
      </c>
      <c r="BO39" s="62" t="s">
        <v>175</v>
      </c>
      <c r="BQ39" s="62">
        <v>35</v>
      </c>
      <c r="BR39" s="62">
        <v>17.5</v>
      </c>
      <c r="BS39" s="62" t="s">
        <v>175</v>
      </c>
      <c r="BT39" s="62"/>
      <c r="BU39" s="62">
        <v>56</v>
      </c>
      <c r="BV39" s="62">
        <v>16.800000000000001</v>
      </c>
      <c r="BW39" s="62" t="s">
        <v>175</v>
      </c>
      <c r="BX39" s="62"/>
      <c r="BY39" s="62">
        <v>165.30000000000001</v>
      </c>
      <c r="BZ39" s="62">
        <v>16.399999999999999</v>
      </c>
      <c r="CA39" s="62" t="s">
        <v>175</v>
      </c>
      <c r="CB39" s="62"/>
      <c r="CC39" s="62">
        <v>140</v>
      </c>
      <c r="CD39" s="62">
        <v>140</v>
      </c>
      <c r="CE39" s="62">
        <v>140</v>
      </c>
      <c r="CF39" s="62">
        <v>140</v>
      </c>
      <c r="CG39" s="62">
        <v>140</v>
      </c>
      <c r="CH39" s="62">
        <v>140</v>
      </c>
      <c r="CI39" s="62">
        <v>140</v>
      </c>
      <c r="CJ39" s="62">
        <v>140</v>
      </c>
    </row>
    <row r="40" ht="15.75" customHeight="1">
      <c r="A40" s="57" t="s">
        <v>37</v>
      </c>
      <c r="B40" s="51" t="s">
        <v>100</v>
      </c>
      <c r="C40" s="51" t="s">
        <v>456</v>
      </c>
      <c r="D40" s="57" t="s">
        <v>438</v>
      </c>
      <c r="E40" s="180" t="s">
        <v>439</v>
      </c>
      <c r="F40" s="51" t="s">
        <v>455</v>
      </c>
      <c r="G40" s="51" t="s">
        <v>372</v>
      </c>
      <c r="H40" s="51" t="s">
        <v>182</v>
      </c>
      <c r="I40" s="51" t="s">
        <v>167</v>
      </c>
      <c r="J40" s="51" t="s">
        <v>300</v>
      </c>
      <c r="K40" s="51" t="s">
        <v>442</v>
      </c>
      <c r="O40" s="51" t="s">
        <v>408</v>
      </c>
      <c r="P40" s="51" t="s">
        <v>171</v>
      </c>
      <c r="Q40" s="51" t="s">
        <v>171</v>
      </c>
      <c r="R40" s="57" t="s">
        <v>426</v>
      </c>
      <c r="T40" s="106" t="s">
        <v>174</v>
      </c>
      <c r="W40" s="64">
        <v>5.7000000000000002</v>
      </c>
      <c r="Y40" s="62">
        <f t="shared" si="48"/>
        <v>80.159999999999997</v>
      </c>
      <c r="Z40" s="62">
        <f t="shared" si="52"/>
        <v>48</v>
      </c>
      <c r="AA40" s="62"/>
      <c r="AB40" s="62"/>
      <c r="AC40" s="62">
        <f t="shared" si="49"/>
        <v>84</v>
      </c>
      <c r="AD40" s="62">
        <f t="shared" si="53"/>
        <v>42</v>
      </c>
      <c r="AE40" s="62"/>
      <c r="AF40" s="62"/>
      <c r="AG40" s="62">
        <f t="shared" si="50"/>
        <v>134.40000000000001</v>
      </c>
      <c r="AH40" s="62">
        <f t="shared" si="54"/>
        <v>40.32</v>
      </c>
      <c r="AI40" s="62"/>
      <c r="AJ40" s="62"/>
      <c r="AK40" s="62">
        <f t="shared" si="51"/>
        <v>396.72000000000003</v>
      </c>
      <c r="AL40" s="62">
        <f t="shared" si="55"/>
        <v>39.359999999999999</v>
      </c>
      <c r="BM40" s="62">
        <v>33.399999999999999</v>
      </c>
      <c r="BN40" s="62">
        <v>20</v>
      </c>
      <c r="BO40" s="62" t="s">
        <v>175</v>
      </c>
      <c r="BQ40" s="62">
        <v>35</v>
      </c>
      <c r="BR40" s="62">
        <v>17.5</v>
      </c>
      <c r="BS40" s="62" t="s">
        <v>175</v>
      </c>
      <c r="BT40" s="62"/>
      <c r="BU40" s="62">
        <v>56</v>
      </c>
      <c r="BV40" s="62">
        <v>16.800000000000001</v>
      </c>
      <c r="BW40" s="62" t="s">
        <v>175</v>
      </c>
      <c r="BX40" s="62"/>
      <c r="BY40" s="62">
        <v>165.30000000000001</v>
      </c>
      <c r="BZ40" s="62">
        <v>16.399999999999999</v>
      </c>
      <c r="CA40" s="62" t="s">
        <v>175</v>
      </c>
      <c r="CB40" s="62"/>
      <c r="CC40" s="62">
        <v>140</v>
      </c>
      <c r="CD40" s="62">
        <v>140</v>
      </c>
      <c r="CE40" s="62">
        <v>140</v>
      </c>
      <c r="CF40" s="62">
        <v>140</v>
      </c>
      <c r="CG40" s="62">
        <v>140</v>
      </c>
      <c r="CH40" s="62">
        <v>140</v>
      </c>
      <c r="CI40" s="62">
        <v>140</v>
      </c>
      <c r="CJ40" s="62">
        <v>140</v>
      </c>
    </row>
    <row r="41" ht="15.75" customHeight="1">
      <c r="A41" s="57" t="s">
        <v>37</v>
      </c>
      <c r="B41" s="51" t="s">
        <v>100</v>
      </c>
      <c r="C41" s="51" t="s">
        <v>457</v>
      </c>
      <c r="D41" s="57" t="s">
        <v>438</v>
      </c>
      <c r="E41" s="180" t="s">
        <v>439</v>
      </c>
      <c r="F41" s="51" t="s">
        <v>455</v>
      </c>
      <c r="G41" s="51" t="s">
        <v>372</v>
      </c>
      <c r="H41" s="51" t="s">
        <v>182</v>
      </c>
      <c r="I41" s="51" t="s">
        <v>167</v>
      </c>
      <c r="J41" s="51" t="s">
        <v>286</v>
      </c>
      <c r="K41" s="51" t="s">
        <v>301</v>
      </c>
      <c r="O41" s="51" t="s">
        <v>408</v>
      </c>
      <c r="P41" s="51" t="s">
        <v>171</v>
      </c>
      <c r="Q41" s="51" t="s">
        <v>171</v>
      </c>
      <c r="R41" s="57" t="s">
        <v>426</v>
      </c>
      <c r="T41" s="106" t="s">
        <v>174</v>
      </c>
      <c r="W41" s="64">
        <v>7.2000000000000002</v>
      </c>
      <c r="Y41" s="62">
        <f t="shared" si="48"/>
        <v>81.120000000000005</v>
      </c>
      <c r="Z41" s="62">
        <f t="shared" si="52"/>
        <v>49.920000000000002</v>
      </c>
      <c r="AA41" s="62"/>
      <c r="AB41" s="62"/>
      <c r="AC41" s="62">
        <f t="shared" si="49"/>
        <v>80.640000000000001</v>
      </c>
      <c r="AD41" s="62">
        <f t="shared" si="53"/>
        <v>44.159999999999997</v>
      </c>
      <c r="AE41" s="62"/>
      <c r="AF41" s="62"/>
      <c r="AG41" s="62">
        <f t="shared" si="50"/>
        <v>138.24000000000001</v>
      </c>
      <c r="AH41" s="62">
        <f t="shared" si="54"/>
        <v>42.240000000000002</v>
      </c>
      <c r="AI41" s="62"/>
      <c r="AJ41" s="62"/>
      <c r="AK41" s="62">
        <f t="shared" si="51"/>
        <v>416.63999999999999</v>
      </c>
      <c r="AL41" s="62">
        <f t="shared" si="55"/>
        <v>41.280000000000001</v>
      </c>
      <c r="BM41" s="62">
        <v>33.799999999999997</v>
      </c>
      <c r="BN41" s="62">
        <v>20.800000000000001</v>
      </c>
      <c r="BO41" s="62" t="s">
        <v>175</v>
      </c>
      <c r="BQ41" s="62">
        <v>33.600000000000001</v>
      </c>
      <c r="BR41" s="62">
        <v>18.399999999999999</v>
      </c>
      <c r="BS41" s="62" t="s">
        <v>175</v>
      </c>
      <c r="BT41" s="62"/>
      <c r="BU41" s="62">
        <v>57.600000000000001</v>
      </c>
      <c r="BV41" s="62">
        <v>17.600000000000001</v>
      </c>
      <c r="BW41" s="62" t="s">
        <v>175</v>
      </c>
      <c r="BX41" s="62"/>
      <c r="BY41" s="62">
        <v>173.59999999999999</v>
      </c>
      <c r="BZ41" s="62">
        <v>17.199999999999999</v>
      </c>
      <c r="CA41" s="62" t="s">
        <v>175</v>
      </c>
      <c r="CB41" s="62"/>
      <c r="CC41" s="62">
        <v>140</v>
      </c>
      <c r="CD41" s="62">
        <v>140</v>
      </c>
      <c r="CE41" s="62">
        <v>140</v>
      </c>
      <c r="CF41" s="62">
        <v>140</v>
      </c>
      <c r="CG41" s="62">
        <v>140</v>
      </c>
      <c r="CH41" s="62">
        <v>140</v>
      </c>
      <c r="CI41" s="62">
        <v>140</v>
      </c>
      <c r="CJ41" s="62">
        <v>140</v>
      </c>
    </row>
    <row r="42" ht="15.75" customHeight="1">
      <c r="A42" s="57" t="s">
        <v>37</v>
      </c>
      <c r="B42" s="51" t="s">
        <v>100</v>
      </c>
      <c r="C42" s="51" t="s">
        <v>458</v>
      </c>
      <c r="D42" s="57" t="s">
        <v>438</v>
      </c>
      <c r="E42" s="180" t="s">
        <v>439</v>
      </c>
      <c r="F42" s="51" t="s">
        <v>455</v>
      </c>
      <c r="G42" s="51" t="s">
        <v>372</v>
      </c>
      <c r="H42" s="51" t="s">
        <v>182</v>
      </c>
      <c r="I42" s="51" t="s">
        <v>167</v>
      </c>
      <c r="J42" s="51" t="s">
        <v>286</v>
      </c>
      <c r="K42" s="51" t="s">
        <v>442</v>
      </c>
      <c r="O42" s="51" t="s">
        <v>408</v>
      </c>
      <c r="P42" s="51" t="s">
        <v>171</v>
      </c>
      <c r="Q42" s="51" t="s">
        <v>171</v>
      </c>
      <c r="R42" s="57" t="s">
        <v>426</v>
      </c>
      <c r="T42" s="106" t="s">
        <v>174</v>
      </c>
      <c r="W42" s="64">
        <v>7.2000000000000002</v>
      </c>
      <c r="Y42" s="62">
        <f t="shared" si="48"/>
        <v>81.120000000000005</v>
      </c>
      <c r="Z42" s="62">
        <f t="shared" si="52"/>
        <v>49.920000000000002</v>
      </c>
      <c r="AA42" s="62"/>
      <c r="AB42" s="62"/>
      <c r="AC42" s="62">
        <f t="shared" si="49"/>
        <v>80.640000000000001</v>
      </c>
      <c r="AD42" s="62">
        <f t="shared" si="53"/>
        <v>44.159999999999997</v>
      </c>
      <c r="AE42" s="62"/>
      <c r="AF42" s="62"/>
      <c r="AG42" s="62">
        <f t="shared" si="50"/>
        <v>138.24000000000001</v>
      </c>
      <c r="AH42" s="62">
        <f t="shared" si="54"/>
        <v>42.240000000000002</v>
      </c>
      <c r="AI42" s="62"/>
      <c r="AJ42" s="62"/>
      <c r="AK42" s="62">
        <f t="shared" si="51"/>
        <v>416.63999999999999</v>
      </c>
      <c r="AL42" s="62">
        <f t="shared" si="55"/>
        <v>41.280000000000001</v>
      </c>
      <c r="BM42" s="62">
        <v>33.799999999999997</v>
      </c>
      <c r="BN42" s="62">
        <v>20.800000000000001</v>
      </c>
      <c r="BO42" s="62" t="s">
        <v>175</v>
      </c>
      <c r="BQ42" s="62">
        <v>33.600000000000001</v>
      </c>
      <c r="BR42" s="62">
        <v>18.399999999999999</v>
      </c>
      <c r="BS42" s="62" t="s">
        <v>175</v>
      </c>
      <c r="BT42" s="62"/>
      <c r="BU42" s="62">
        <v>57.600000000000001</v>
      </c>
      <c r="BV42" s="62">
        <v>17.600000000000001</v>
      </c>
      <c r="BW42" s="62" t="s">
        <v>175</v>
      </c>
      <c r="BX42" s="62"/>
      <c r="BY42" s="62">
        <v>173.59999999999999</v>
      </c>
      <c r="BZ42" s="62">
        <v>17.199999999999999</v>
      </c>
      <c r="CA42" s="62" t="s">
        <v>175</v>
      </c>
      <c r="CB42" s="62"/>
      <c r="CC42" s="62">
        <v>140</v>
      </c>
      <c r="CD42" s="62">
        <v>140</v>
      </c>
      <c r="CE42" s="62">
        <v>140</v>
      </c>
      <c r="CF42" s="62">
        <v>140</v>
      </c>
      <c r="CG42" s="62">
        <v>140</v>
      </c>
      <c r="CH42" s="62">
        <v>140</v>
      </c>
      <c r="CI42" s="62">
        <v>140</v>
      </c>
      <c r="CJ42" s="62">
        <v>140</v>
      </c>
    </row>
    <row r="43" ht="15.75" customHeight="1">
      <c r="A43" s="57" t="s">
        <v>37</v>
      </c>
      <c r="B43" s="51" t="s">
        <v>100</v>
      </c>
      <c r="C43" s="51" t="s">
        <v>459</v>
      </c>
      <c r="D43" s="57" t="s">
        <v>438</v>
      </c>
      <c r="E43" s="180" t="s">
        <v>439</v>
      </c>
      <c r="F43" s="51" t="s">
        <v>455</v>
      </c>
      <c r="G43" s="51" t="s">
        <v>372</v>
      </c>
      <c r="H43" s="51" t="s">
        <v>182</v>
      </c>
      <c r="I43" s="51" t="s">
        <v>167</v>
      </c>
      <c r="J43" s="51" t="s">
        <v>183</v>
      </c>
      <c r="K43" s="51" t="s">
        <v>301</v>
      </c>
      <c r="O43" s="51" t="s">
        <v>408</v>
      </c>
      <c r="P43" s="51" t="s">
        <v>171</v>
      </c>
      <c r="Q43" s="51" t="s">
        <v>171</v>
      </c>
      <c r="R43" s="57" t="s">
        <v>426</v>
      </c>
      <c r="T43" s="106" t="s">
        <v>174</v>
      </c>
      <c r="W43" s="64">
        <v>8.5</v>
      </c>
      <c r="Y43" s="62">
        <f t="shared" si="48"/>
        <v>71.519999999999996</v>
      </c>
      <c r="Z43" s="62">
        <f t="shared" si="52"/>
        <v>56.159999999999997</v>
      </c>
      <c r="AA43" s="62"/>
      <c r="AB43" s="62"/>
      <c r="AC43" s="62">
        <f t="shared" si="49"/>
        <v>78</v>
      </c>
      <c r="AD43" s="62">
        <f t="shared" si="53"/>
        <v>49.920000000000002</v>
      </c>
      <c r="AE43" s="62"/>
      <c r="AF43" s="62"/>
      <c r="AG43" s="62">
        <f t="shared" si="50"/>
        <v>154.80000000000001</v>
      </c>
      <c r="AH43" s="62">
        <f t="shared" si="54"/>
        <v>48.240000000000002</v>
      </c>
      <c r="AI43" s="62"/>
      <c r="AJ43" s="62"/>
      <c r="AK43" s="62">
        <f t="shared" si="51"/>
        <v>445.92000000000002</v>
      </c>
      <c r="AL43" s="62">
        <f t="shared" si="55"/>
        <v>47.759999999999998</v>
      </c>
      <c r="BM43" s="62">
        <v>29.800000000000001</v>
      </c>
      <c r="BN43" s="62">
        <v>23.399999999999999</v>
      </c>
      <c r="BO43" s="62" t="s">
        <v>175</v>
      </c>
      <c r="BQ43" s="62">
        <v>32.5</v>
      </c>
      <c r="BR43" s="62">
        <v>20.800000000000001</v>
      </c>
      <c r="BS43" s="62" t="s">
        <v>175</v>
      </c>
      <c r="BT43" s="62"/>
      <c r="BU43" s="62">
        <v>64.5</v>
      </c>
      <c r="BV43" s="62">
        <v>20.100000000000001</v>
      </c>
      <c r="BW43" s="62" t="s">
        <v>175</v>
      </c>
      <c r="BX43" s="62"/>
      <c r="BY43" s="62">
        <v>185.80000000000001</v>
      </c>
      <c r="BZ43" s="62">
        <v>19.899999999999999</v>
      </c>
      <c r="CA43" s="62" t="s">
        <v>175</v>
      </c>
      <c r="CB43" s="62"/>
      <c r="CC43" s="62">
        <v>140</v>
      </c>
      <c r="CD43" s="62">
        <v>140</v>
      </c>
      <c r="CE43" s="62">
        <v>140</v>
      </c>
      <c r="CF43" s="62">
        <v>140</v>
      </c>
      <c r="CG43" s="62">
        <v>140</v>
      </c>
      <c r="CH43" s="62">
        <v>140</v>
      </c>
      <c r="CI43" s="62">
        <v>140</v>
      </c>
      <c r="CJ43" s="62">
        <v>140</v>
      </c>
    </row>
    <row r="44" ht="15.75" customHeight="1">
      <c r="A44" s="57" t="s">
        <v>37</v>
      </c>
      <c r="B44" s="51" t="s">
        <v>100</v>
      </c>
      <c r="C44" s="51" t="s">
        <v>460</v>
      </c>
      <c r="D44" s="57" t="s">
        <v>438</v>
      </c>
      <c r="E44" s="180" t="s">
        <v>439</v>
      </c>
      <c r="F44" s="51" t="s">
        <v>455</v>
      </c>
      <c r="G44" s="51" t="s">
        <v>372</v>
      </c>
      <c r="H44" s="51" t="s">
        <v>182</v>
      </c>
      <c r="I44" s="51" t="s">
        <v>167</v>
      </c>
      <c r="J44" s="51" t="s">
        <v>183</v>
      </c>
      <c r="K44" s="51" t="s">
        <v>442</v>
      </c>
      <c r="O44" s="51" t="s">
        <v>408</v>
      </c>
      <c r="P44" s="51" t="s">
        <v>171</v>
      </c>
      <c r="Q44" s="51" t="s">
        <v>171</v>
      </c>
      <c r="R44" s="57" t="s">
        <v>426</v>
      </c>
      <c r="T44" s="106" t="s">
        <v>174</v>
      </c>
      <c r="W44" s="64">
        <v>8.5</v>
      </c>
      <c r="Y44" s="62">
        <f t="shared" si="48"/>
        <v>71.519999999999996</v>
      </c>
      <c r="Z44" s="62">
        <f t="shared" si="52"/>
        <v>56.159999999999997</v>
      </c>
      <c r="AA44" s="62"/>
      <c r="AB44" s="62"/>
      <c r="AC44" s="62">
        <f t="shared" si="49"/>
        <v>78</v>
      </c>
      <c r="AD44" s="62">
        <f t="shared" si="53"/>
        <v>49.920000000000002</v>
      </c>
      <c r="AE44" s="62"/>
      <c r="AF44" s="62"/>
      <c r="AG44" s="62">
        <f t="shared" si="50"/>
        <v>154.80000000000001</v>
      </c>
      <c r="AH44" s="62">
        <f t="shared" si="54"/>
        <v>48.240000000000002</v>
      </c>
      <c r="AI44" s="62"/>
      <c r="AJ44" s="62"/>
      <c r="AK44" s="62">
        <f t="shared" si="51"/>
        <v>445.92000000000002</v>
      </c>
      <c r="AL44" s="62">
        <f t="shared" si="55"/>
        <v>47.759999999999998</v>
      </c>
      <c r="BM44" s="62">
        <v>29.800000000000001</v>
      </c>
      <c r="BN44" s="62">
        <v>23.399999999999999</v>
      </c>
      <c r="BO44" s="62" t="s">
        <v>175</v>
      </c>
      <c r="BQ44" s="62">
        <v>32.5</v>
      </c>
      <c r="BR44" s="62">
        <v>20.800000000000001</v>
      </c>
      <c r="BS44" s="62" t="s">
        <v>175</v>
      </c>
      <c r="BT44" s="62"/>
      <c r="BU44" s="62">
        <v>64.5</v>
      </c>
      <c r="BV44" s="62">
        <v>20.100000000000001</v>
      </c>
      <c r="BW44" s="62" t="s">
        <v>175</v>
      </c>
      <c r="BX44" s="62"/>
      <c r="BY44" s="62">
        <v>185.80000000000001</v>
      </c>
      <c r="BZ44" s="62">
        <v>19.899999999999999</v>
      </c>
      <c r="CA44" s="62" t="s">
        <v>175</v>
      </c>
      <c r="CB44" s="62"/>
      <c r="CC44" s="62">
        <v>140</v>
      </c>
      <c r="CD44" s="62">
        <v>140</v>
      </c>
      <c r="CE44" s="62">
        <v>140</v>
      </c>
      <c r="CF44" s="62">
        <v>140</v>
      </c>
      <c r="CG44" s="62">
        <v>140</v>
      </c>
      <c r="CH44" s="62">
        <v>140</v>
      </c>
      <c r="CI44" s="62">
        <v>140</v>
      </c>
      <c r="CJ44" s="62">
        <v>140</v>
      </c>
    </row>
    <row r="45" ht="15.75" customHeight="1">
      <c r="A45" s="57" t="s">
        <v>37</v>
      </c>
      <c r="B45" s="51" t="s">
        <v>100</v>
      </c>
      <c r="C45" s="51" t="s">
        <v>461</v>
      </c>
      <c r="D45" s="57" t="s">
        <v>438</v>
      </c>
      <c r="E45" s="180" t="s">
        <v>439</v>
      </c>
      <c r="F45" s="51" t="s">
        <v>455</v>
      </c>
      <c r="G45" s="51" t="s">
        <v>372</v>
      </c>
      <c r="H45" s="51" t="s">
        <v>182</v>
      </c>
      <c r="I45" s="51" t="s">
        <v>167</v>
      </c>
      <c r="J45" s="51" t="s">
        <v>168</v>
      </c>
      <c r="K45" s="51" t="s">
        <v>301</v>
      </c>
      <c r="O45" s="51" t="s">
        <v>408</v>
      </c>
      <c r="P45" s="51" t="s">
        <v>171</v>
      </c>
      <c r="Q45" s="51" t="s">
        <v>171</v>
      </c>
      <c r="R45" s="57" t="s">
        <v>426</v>
      </c>
      <c r="T45" s="106" t="s">
        <v>174</v>
      </c>
      <c r="W45" s="64">
        <v>10.6</v>
      </c>
      <c r="Y45" s="62">
        <f t="shared" si="48"/>
        <v>84.960000000000008</v>
      </c>
      <c r="Z45" s="62">
        <f t="shared" si="52"/>
        <v>72.960000000000008</v>
      </c>
      <c r="AA45" s="62"/>
      <c r="AB45" s="62"/>
      <c r="AC45" s="62">
        <f t="shared" si="49"/>
        <v>78</v>
      </c>
      <c r="AD45" s="62">
        <f t="shared" si="53"/>
        <v>62.159999999999997</v>
      </c>
      <c r="AE45" s="62"/>
      <c r="AF45" s="62"/>
      <c r="AG45" s="62">
        <f t="shared" si="50"/>
        <v>201.12</v>
      </c>
      <c r="AH45" s="62">
        <f t="shared" si="54"/>
        <v>61.200000000000003</v>
      </c>
      <c r="AI45" s="62"/>
      <c r="AJ45" s="62"/>
      <c r="AK45" s="62">
        <f t="shared" si="51"/>
        <v>544.79999999999995</v>
      </c>
      <c r="AL45" s="62">
        <f t="shared" si="55"/>
        <v>58.079999999999998</v>
      </c>
      <c r="BM45" s="62">
        <v>35.399999999999999</v>
      </c>
      <c r="BN45" s="62">
        <v>30.399999999999999</v>
      </c>
      <c r="BO45" s="62" t="s">
        <v>175</v>
      </c>
      <c r="BQ45" s="62">
        <v>32.5</v>
      </c>
      <c r="BR45" s="62">
        <v>25.899999999999999</v>
      </c>
      <c r="BS45" s="62" t="s">
        <v>175</v>
      </c>
      <c r="BT45" s="62"/>
      <c r="BU45" s="62">
        <v>83.799999999999997</v>
      </c>
      <c r="BV45" s="62">
        <v>25.5</v>
      </c>
      <c r="BW45" s="62" t="s">
        <v>175</v>
      </c>
      <c r="BX45" s="62"/>
      <c r="BY45" s="62">
        <v>227</v>
      </c>
      <c r="BZ45" s="62">
        <v>24.199999999999999</v>
      </c>
      <c r="CA45" s="62" t="s">
        <v>175</v>
      </c>
      <c r="CB45" s="62"/>
      <c r="CC45" s="62">
        <v>140</v>
      </c>
      <c r="CD45" s="62">
        <v>140</v>
      </c>
      <c r="CE45" s="62">
        <v>140</v>
      </c>
      <c r="CF45" s="62">
        <v>140</v>
      </c>
      <c r="CG45" s="62">
        <v>140</v>
      </c>
      <c r="CH45" s="62">
        <v>140</v>
      </c>
      <c r="CI45" s="62">
        <v>140</v>
      </c>
      <c r="CJ45" s="62">
        <v>140</v>
      </c>
    </row>
    <row r="46" ht="15.75" customHeight="1">
      <c r="A46" s="57" t="s">
        <v>37</v>
      </c>
      <c r="B46" s="51" t="s">
        <v>100</v>
      </c>
      <c r="C46" s="51" t="s">
        <v>462</v>
      </c>
      <c r="D46" s="57" t="s">
        <v>438</v>
      </c>
      <c r="E46" s="180" t="s">
        <v>439</v>
      </c>
      <c r="F46" s="51" t="s">
        <v>455</v>
      </c>
      <c r="G46" s="51" t="s">
        <v>372</v>
      </c>
      <c r="H46" s="51" t="s">
        <v>182</v>
      </c>
      <c r="I46" s="51" t="s">
        <v>167</v>
      </c>
      <c r="J46" s="51" t="s">
        <v>168</v>
      </c>
      <c r="K46" s="51" t="s">
        <v>442</v>
      </c>
      <c r="O46" s="51" t="s">
        <v>408</v>
      </c>
      <c r="P46" s="51" t="s">
        <v>171</v>
      </c>
      <c r="Q46" s="51" t="s">
        <v>171</v>
      </c>
      <c r="R46" s="57" t="s">
        <v>426</v>
      </c>
      <c r="T46" s="106" t="s">
        <v>174</v>
      </c>
      <c r="W46" s="64">
        <v>10.6</v>
      </c>
      <c r="Y46" s="62">
        <f t="shared" si="48"/>
        <v>84.960000000000008</v>
      </c>
      <c r="Z46" s="62">
        <f t="shared" si="52"/>
        <v>72.960000000000008</v>
      </c>
      <c r="AA46" s="62"/>
      <c r="AB46" s="62"/>
      <c r="AC46" s="62">
        <f t="shared" si="49"/>
        <v>78</v>
      </c>
      <c r="AD46" s="62">
        <f t="shared" si="53"/>
        <v>62.159999999999997</v>
      </c>
      <c r="AE46" s="62"/>
      <c r="AF46" s="62"/>
      <c r="AG46" s="62">
        <f t="shared" si="50"/>
        <v>201.12</v>
      </c>
      <c r="AH46" s="62">
        <f t="shared" si="54"/>
        <v>61.200000000000003</v>
      </c>
      <c r="AI46" s="62"/>
      <c r="AJ46" s="62"/>
      <c r="AK46" s="62">
        <f t="shared" si="51"/>
        <v>544.79999999999995</v>
      </c>
      <c r="AL46" s="62">
        <f t="shared" si="55"/>
        <v>58.079999999999998</v>
      </c>
      <c r="BM46" s="62">
        <v>35.399999999999999</v>
      </c>
      <c r="BN46" s="62">
        <v>30.399999999999999</v>
      </c>
      <c r="BO46" s="62" t="s">
        <v>175</v>
      </c>
      <c r="BQ46" s="62">
        <v>32.5</v>
      </c>
      <c r="BR46" s="62">
        <v>25.899999999999999</v>
      </c>
      <c r="BS46" s="62" t="s">
        <v>175</v>
      </c>
      <c r="BT46" s="62"/>
      <c r="BU46" s="62">
        <v>83.799999999999997</v>
      </c>
      <c r="BV46" s="62">
        <v>25.5</v>
      </c>
      <c r="BW46" s="62" t="s">
        <v>175</v>
      </c>
      <c r="BX46" s="62"/>
      <c r="BY46" s="62">
        <v>227</v>
      </c>
      <c r="BZ46" s="62">
        <v>24.199999999999999</v>
      </c>
      <c r="CA46" s="62" t="s">
        <v>175</v>
      </c>
      <c r="CC46" s="62">
        <v>140</v>
      </c>
      <c r="CD46" s="62">
        <v>140</v>
      </c>
      <c r="CE46" s="62">
        <v>140</v>
      </c>
      <c r="CF46" s="62">
        <v>140</v>
      </c>
      <c r="CG46" s="62">
        <v>140</v>
      </c>
      <c r="CH46" s="62">
        <v>140</v>
      </c>
      <c r="CI46" s="62">
        <v>140</v>
      </c>
      <c r="CJ46" s="62">
        <v>140</v>
      </c>
    </row>
    <row r="47" s="76" customFormat="1" ht="15.75" customHeight="1">
      <c r="A47" s="77" t="s">
        <v>37</v>
      </c>
      <c r="B47" s="76" t="s">
        <v>100</v>
      </c>
      <c r="C47" s="76" t="s">
        <v>463</v>
      </c>
      <c r="D47" s="77" t="s">
        <v>438</v>
      </c>
      <c r="E47" s="180" t="s">
        <v>439</v>
      </c>
      <c r="F47" s="76" t="s">
        <v>455</v>
      </c>
      <c r="G47" s="76" t="s">
        <v>464</v>
      </c>
      <c r="H47" s="76" t="s">
        <v>193</v>
      </c>
      <c r="I47" s="76" t="s">
        <v>167</v>
      </c>
      <c r="J47" s="76" t="s">
        <v>300</v>
      </c>
      <c r="K47" s="76" t="s">
        <v>301</v>
      </c>
      <c r="O47" s="76" t="s">
        <v>408</v>
      </c>
      <c r="P47" s="76" t="s">
        <v>171</v>
      </c>
      <c r="Q47" s="76" t="s">
        <v>171</v>
      </c>
      <c r="R47" s="77" t="s">
        <v>426</v>
      </c>
      <c r="T47" s="99" t="s">
        <v>174</v>
      </c>
      <c r="W47" s="86">
        <v>7.4000000000000004</v>
      </c>
      <c r="Y47" s="84">
        <f t="shared" si="48"/>
        <v>96.480000000000004</v>
      </c>
      <c r="Z47" s="84">
        <f t="shared" si="52"/>
        <v>74.640000000000001</v>
      </c>
      <c r="AA47" s="84"/>
      <c r="AB47" s="84"/>
      <c r="AC47" s="84">
        <f t="shared" si="49"/>
        <v>82.799999999999997</v>
      </c>
      <c r="AD47" s="84">
        <f t="shared" si="53"/>
        <v>61.920000000000002</v>
      </c>
      <c r="AE47" s="84"/>
      <c r="AF47" s="84"/>
      <c r="AG47" s="84">
        <f t="shared" si="50"/>
        <v>422.15999999999997</v>
      </c>
      <c r="AH47" s="84">
        <f t="shared" si="54"/>
        <v>50.399999999999999</v>
      </c>
      <c r="AI47" s="84"/>
      <c r="AJ47" s="84"/>
      <c r="AK47" s="84">
        <f t="shared" si="51"/>
        <v>763.44000000000005</v>
      </c>
      <c r="AL47" s="84">
        <f t="shared" si="55"/>
        <v>54.719999999999999</v>
      </c>
      <c r="BM47" s="84">
        <v>40.200000000000003</v>
      </c>
      <c r="BN47" s="84">
        <v>31.100000000000001</v>
      </c>
      <c r="BO47" s="84" t="s">
        <v>175</v>
      </c>
      <c r="BQ47" s="84">
        <v>34.5</v>
      </c>
      <c r="BR47" s="84">
        <v>25.800000000000001</v>
      </c>
      <c r="BS47" s="84" t="s">
        <v>175</v>
      </c>
      <c r="BU47" s="84">
        <v>175.90000000000001</v>
      </c>
      <c r="BV47" s="84">
        <v>21</v>
      </c>
      <c r="BW47" s="84" t="s">
        <v>175</v>
      </c>
      <c r="BY47" s="84">
        <v>318.10000000000002</v>
      </c>
      <c r="BZ47" s="84">
        <v>22.800000000000001</v>
      </c>
      <c r="CA47" s="84" t="s">
        <v>175</v>
      </c>
      <c r="CC47" s="84">
        <v>140</v>
      </c>
      <c r="CD47" s="84">
        <v>140</v>
      </c>
      <c r="CE47" s="84">
        <v>140</v>
      </c>
      <c r="CF47" s="84">
        <v>140</v>
      </c>
      <c r="CG47" s="84">
        <v>140</v>
      </c>
      <c r="CH47" s="84">
        <v>140</v>
      </c>
      <c r="CI47" s="84">
        <v>140</v>
      </c>
      <c r="CJ47" s="84">
        <v>140</v>
      </c>
    </row>
    <row r="48" s="76" customFormat="1" ht="15.75" customHeight="1">
      <c r="A48" s="77" t="s">
        <v>37</v>
      </c>
      <c r="B48" s="76" t="s">
        <v>100</v>
      </c>
      <c r="C48" s="76" t="s">
        <v>465</v>
      </c>
      <c r="D48" s="77" t="s">
        <v>438</v>
      </c>
      <c r="E48" s="180" t="s">
        <v>439</v>
      </c>
      <c r="F48" s="76" t="s">
        <v>455</v>
      </c>
      <c r="G48" s="76" t="s">
        <v>464</v>
      </c>
      <c r="H48" s="76" t="s">
        <v>193</v>
      </c>
      <c r="I48" s="76" t="s">
        <v>167</v>
      </c>
      <c r="J48" s="76" t="s">
        <v>300</v>
      </c>
      <c r="K48" s="76" t="s">
        <v>442</v>
      </c>
      <c r="O48" s="76" t="s">
        <v>408</v>
      </c>
      <c r="P48" s="76" t="s">
        <v>171</v>
      </c>
      <c r="Q48" s="76" t="s">
        <v>171</v>
      </c>
      <c r="R48" s="77" t="s">
        <v>426</v>
      </c>
      <c r="T48" s="99" t="s">
        <v>174</v>
      </c>
      <c r="W48" s="86">
        <v>7.4000000000000004</v>
      </c>
      <c r="Y48" s="84">
        <f t="shared" si="48"/>
        <v>96.480000000000004</v>
      </c>
      <c r="Z48" s="84">
        <f t="shared" si="52"/>
        <v>74.640000000000001</v>
      </c>
      <c r="AA48" s="84"/>
      <c r="AB48" s="84"/>
      <c r="AC48" s="84">
        <f t="shared" si="49"/>
        <v>82.799999999999997</v>
      </c>
      <c r="AD48" s="84">
        <f t="shared" si="53"/>
        <v>61.920000000000002</v>
      </c>
      <c r="AE48" s="84"/>
      <c r="AF48" s="84"/>
      <c r="AG48" s="84">
        <f t="shared" si="50"/>
        <v>422.15999999999997</v>
      </c>
      <c r="AH48" s="84">
        <f t="shared" si="54"/>
        <v>50.399999999999999</v>
      </c>
      <c r="AI48" s="84"/>
      <c r="AJ48" s="84"/>
      <c r="AK48" s="84">
        <f t="shared" si="51"/>
        <v>763.44000000000005</v>
      </c>
      <c r="AL48" s="84">
        <f t="shared" si="55"/>
        <v>54.719999999999999</v>
      </c>
      <c r="BM48" s="84">
        <v>40.200000000000003</v>
      </c>
      <c r="BN48" s="84">
        <v>31.100000000000001</v>
      </c>
      <c r="BO48" s="84" t="s">
        <v>175</v>
      </c>
      <c r="BQ48" s="84">
        <v>34.5</v>
      </c>
      <c r="BR48" s="84">
        <v>25.800000000000001</v>
      </c>
      <c r="BS48" s="84" t="s">
        <v>175</v>
      </c>
      <c r="BU48" s="84">
        <v>175.90000000000001</v>
      </c>
      <c r="BV48" s="84">
        <v>21</v>
      </c>
      <c r="BW48" s="84" t="s">
        <v>175</v>
      </c>
      <c r="BY48" s="84">
        <v>318.10000000000002</v>
      </c>
      <c r="BZ48" s="84">
        <v>22.800000000000001</v>
      </c>
      <c r="CA48" s="84" t="s">
        <v>175</v>
      </c>
      <c r="CC48" s="84">
        <v>140</v>
      </c>
      <c r="CD48" s="84">
        <v>140</v>
      </c>
      <c r="CE48" s="84">
        <v>140</v>
      </c>
      <c r="CF48" s="84">
        <v>140</v>
      </c>
      <c r="CG48" s="84">
        <v>140</v>
      </c>
      <c r="CH48" s="84">
        <v>140</v>
      </c>
      <c r="CI48" s="84">
        <v>140</v>
      </c>
      <c r="CJ48" s="84">
        <v>140</v>
      </c>
    </row>
    <row r="49" s="76" customFormat="1" ht="15.75" customHeight="1">
      <c r="A49" s="77" t="s">
        <v>37</v>
      </c>
      <c r="B49" s="76" t="s">
        <v>100</v>
      </c>
      <c r="C49" s="76" t="s">
        <v>466</v>
      </c>
      <c r="D49" s="77" t="s">
        <v>438</v>
      </c>
      <c r="E49" s="180" t="s">
        <v>439</v>
      </c>
      <c r="F49" s="76" t="s">
        <v>455</v>
      </c>
      <c r="G49" s="76" t="s">
        <v>464</v>
      </c>
      <c r="H49" s="76" t="s">
        <v>193</v>
      </c>
      <c r="I49" s="76" t="s">
        <v>167</v>
      </c>
      <c r="J49" s="76" t="s">
        <v>286</v>
      </c>
      <c r="K49" s="76" t="s">
        <v>301</v>
      </c>
      <c r="O49" s="76" t="s">
        <v>408</v>
      </c>
      <c r="P49" s="76" t="s">
        <v>171</v>
      </c>
      <c r="Q49" s="76" t="s">
        <v>171</v>
      </c>
      <c r="R49" s="77" t="s">
        <v>426</v>
      </c>
      <c r="T49" s="99" t="s">
        <v>174</v>
      </c>
      <c r="W49" s="86">
        <v>9.5</v>
      </c>
      <c r="Y49" s="84">
        <f t="shared" si="48"/>
        <v>100.31999999999999</v>
      </c>
      <c r="Z49" s="84">
        <f t="shared" si="52"/>
        <v>76.799999999999997</v>
      </c>
      <c r="AA49" s="84"/>
      <c r="AB49" s="84"/>
      <c r="AC49" s="84">
        <f t="shared" si="49"/>
        <v>84.480000000000004</v>
      </c>
      <c r="AD49" s="84">
        <f t="shared" si="53"/>
        <v>63.600000000000001</v>
      </c>
      <c r="AE49" s="84"/>
      <c r="AF49" s="84"/>
      <c r="AG49" s="84">
        <f t="shared" si="50"/>
        <v>432</v>
      </c>
      <c r="AH49" s="84">
        <f t="shared" si="54"/>
        <v>54.480000000000004</v>
      </c>
      <c r="AI49" s="84"/>
      <c r="AJ49" s="84"/>
      <c r="AK49" s="84">
        <f t="shared" si="51"/>
        <v>764.88</v>
      </c>
      <c r="AL49" s="84">
        <f t="shared" si="55"/>
        <v>57.600000000000001</v>
      </c>
      <c r="BM49" s="84">
        <v>41.799999999999997</v>
      </c>
      <c r="BN49" s="84">
        <v>32</v>
      </c>
      <c r="BO49" s="84" t="s">
        <v>175</v>
      </c>
      <c r="BQ49" s="84">
        <v>35.200000000000003</v>
      </c>
      <c r="BR49" s="84">
        <v>26.5</v>
      </c>
      <c r="BS49" s="84" t="s">
        <v>175</v>
      </c>
      <c r="BU49" s="84">
        <v>180</v>
      </c>
      <c r="BV49" s="84">
        <v>22.699999999999999</v>
      </c>
      <c r="BW49" s="84" t="s">
        <v>175</v>
      </c>
      <c r="BY49" s="84">
        <v>318.69999999999999</v>
      </c>
      <c r="BZ49" s="84">
        <v>24</v>
      </c>
      <c r="CA49" s="84" t="s">
        <v>175</v>
      </c>
      <c r="CC49" s="84">
        <v>140</v>
      </c>
      <c r="CD49" s="84">
        <v>140</v>
      </c>
      <c r="CE49" s="84">
        <v>140</v>
      </c>
      <c r="CF49" s="84">
        <v>140</v>
      </c>
      <c r="CG49" s="84">
        <v>140</v>
      </c>
      <c r="CH49" s="84">
        <v>140</v>
      </c>
      <c r="CI49" s="84">
        <v>140</v>
      </c>
      <c r="CJ49" s="84">
        <v>140</v>
      </c>
    </row>
    <row r="50" s="76" customFormat="1" ht="15.75" customHeight="1">
      <c r="A50" s="77" t="s">
        <v>37</v>
      </c>
      <c r="B50" s="76" t="s">
        <v>100</v>
      </c>
      <c r="C50" s="76" t="s">
        <v>467</v>
      </c>
      <c r="D50" s="77" t="s">
        <v>438</v>
      </c>
      <c r="E50" s="180" t="s">
        <v>439</v>
      </c>
      <c r="F50" s="76" t="s">
        <v>455</v>
      </c>
      <c r="G50" s="76" t="s">
        <v>464</v>
      </c>
      <c r="H50" s="76" t="s">
        <v>193</v>
      </c>
      <c r="I50" s="76" t="s">
        <v>167</v>
      </c>
      <c r="J50" s="76" t="s">
        <v>286</v>
      </c>
      <c r="K50" s="76" t="s">
        <v>442</v>
      </c>
      <c r="O50" s="76" t="s">
        <v>408</v>
      </c>
      <c r="P50" s="76" t="s">
        <v>171</v>
      </c>
      <c r="Q50" s="76" t="s">
        <v>171</v>
      </c>
      <c r="R50" s="77" t="s">
        <v>426</v>
      </c>
      <c r="T50" s="99" t="s">
        <v>174</v>
      </c>
      <c r="W50" s="86">
        <v>9.5</v>
      </c>
      <c r="Y50" s="84">
        <f t="shared" si="48"/>
        <v>100.31999999999999</v>
      </c>
      <c r="Z50" s="84">
        <f t="shared" si="52"/>
        <v>76.799999999999997</v>
      </c>
      <c r="AA50" s="84"/>
      <c r="AB50" s="84"/>
      <c r="AC50" s="84">
        <f t="shared" si="49"/>
        <v>84.480000000000004</v>
      </c>
      <c r="AD50" s="84">
        <f t="shared" si="53"/>
        <v>63.600000000000001</v>
      </c>
      <c r="AE50" s="84"/>
      <c r="AF50" s="84"/>
      <c r="AG50" s="84">
        <f t="shared" si="50"/>
        <v>432</v>
      </c>
      <c r="AH50" s="84">
        <f t="shared" si="54"/>
        <v>54.480000000000004</v>
      </c>
      <c r="AI50" s="84"/>
      <c r="AJ50" s="84"/>
      <c r="AK50" s="84">
        <f t="shared" si="51"/>
        <v>764.88</v>
      </c>
      <c r="AL50" s="84">
        <f t="shared" si="55"/>
        <v>57.600000000000001</v>
      </c>
      <c r="BM50" s="84">
        <v>41.799999999999997</v>
      </c>
      <c r="BN50" s="84">
        <v>32</v>
      </c>
      <c r="BO50" s="84" t="s">
        <v>175</v>
      </c>
      <c r="BQ50" s="84">
        <v>35.200000000000003</v>
      </c>
      <c r="BR50" s="84">
        <v>26.5</v>
      </c>
      <c r="BS50" s="84" t="s">
        <v>175</v>
      </c>
      <c r="BU50" s="84">
        <v>180</v>
      </c>
      <c r="BV50" s="84">
        <v>22.699999999999999</v>
      </c>
      <c r="BW50" s="84" t="s">
        <v>175</v>
      </c>
      <c r="BY50" s="84">
        <v>318.69999999999999</v>
      </c>
      <c r="BZ50" s="84">
        <v>24</v>
      </c>
      <c r="CA50" s="84" t="s">
        <v>175</v>
      </c>
      <c r="CC50" s="84">
        <v>140</v>
      </c>
      <c r="CD50" s="84">
        <v>140</v>
      </c>
      <c r="CE50" s="84">
        <v>140</v>
      </c>
      <c r="CF50" s="84">
        <v>140</v>
      </c>
      <c r="CG50" s="84">
        <v>140</v>
      </c>
      <c r="CH50" s="84">
        <v>140</v>
      </c>
      <c r="CI50" s="84">
        <v>140</v>
      </c>
      <c r="CJ50" s="84">
        <v>140</v>
      </c>
    </row>
    <row r="51" s="76" customFormat="1" ht="15.75" customHeight="1">
      <c r="A51" s="77" t="s">
        <v>37</v>
      </c>
      <c r="B51" s="76" t="s">
        <v>100</v>
      </c>
      <c r="C51" s="76" t="s">
        <v>468</v>
      </c>
      <c r="D51" s="77" t="s">
        <v>438</v>
      </c>
      <c r="E51" s="180" t="s">
        <v>439</v>
      </c>
      <c r="F51" s="76" t="s">
        <v>455</v>
      </c>
      <c r="G51" s="76" t="s">
        <v>464</v>
      </c>
      <c r="H51" s="76" t="s">
        <v>193</v>
      </c>
      <c r="I51" s="76" t="s">
        <v>167</v>
      </c>
      <c r="J51" s="76" t="s">
        <v>183</v>
      </c>
      <c r="K51" s="76" t="s">
        <v>301</v>
      </c>
      <c r="O51" s="76" t="s">
        <v>408</v>
      </c>
      <c r="P51" s="76" t="s">
        <v>171</v>
      </c>
      <c r="Q51" s="76" t="s">
        <v>171</v>
      </c>
      <c r="R51" s="77" t="s">
        <v>426</v>
      </c>
      <c r="T51" s="99" t="s">
        <v>174</v>
      </c>
      <c r="W51" s="86">
        <v>11.1</v>
      </c>
      <c r="Y51" s="84">
        <f t="shared" si="48"/>
        <v>101.75999999999999</v>
      </c>
      <c r="Z51" s="84">
        <f t="shared" si="52"/>
        <v>82.319999999999993</v>
      </c>
      <c r="AA51" s="84"/>
      <c r="AB51" s="84"/>
      <c r="AC51" s="84">
        <f t="shared" si="49"/>
        <v>92.159999999999997</v>
      </c>
      <c r="AD51" s="84">
        <f t="shared" si="53"/>
        <v>68.400000000000006</v>
      </c>
      <c r="AE51" s="84"/>
      <c r="AF51" s="84"/>
      <c r="AG51" s="84">
        <f t="shared" si="50"/>
        <v>451.19999999999999</v>
      </c>
      <c r="AH51" s="84">
        <f t="shared" si="54"/>
        <v>63.120000000000005</v>
      </c>
      <c r="AI51" s="84"/>
      <c r="AJ51" s="84"/>
      <c r="AK51" s="84">
        <f t="shared" si="51"/>
        <v>870.24000000000001</v>
      </c>
      <c r="AL51" s="84">
        <f t="shared" si="55"/>
        <v>66</v>
      </c>
      <c r="BM51" s="84">
        <v>42.399999999999999</v>
      </c>
      <c r="BN51" s="84">
        <v>34.299999999999997</v>
      </c>
      <c r="BO51" s="84" t="s">
        <v>175</v>
      </c>
      <c r="BQ51" s="84">
        <v>38.399999999999999</v>
      </c>
      <c r="BR51" s="84">
        <v>28.5</v>
      </c>
      <c r="BS51" s="84" t="s">
        <v>175</v>
      </c>
      <c r="BU51" s="84">
        <v>188</v>
      </c>
      <c r="BV51" s="84">
        <v>26.300000000000001</v>
      </c>
      <c r="BW51" s="84" t="s">
        <v>175</v>
      </c>
      <c r="BY51" s="84">
        <v>362.60000000000002</v>
      </c>
      <c r="BZ51" s="84">
        <v>27.5</v>
      </c>
      <c r="CA51" s="84" t="s">
        <v>175</v>
      </c>
      <c r="CC51" s="84">
        <v>140</v>
      </c>
      <c r="CD51" s="84">
        <v>140</v>
      </c>
      <c r="CE51" s="84">
        <v>140</v>
      </c>
      <c r="CF51" s="84">
        <v>140</v>
      </c>
      <c r="CG51" s="84">
        <v>140</v>
      </c>
      <c r="CH51" s="84">
        <v>140</v>
      </c>
      <c r="CI51" s="84">
        <v>140</v>
      </c>
      <c r="CJ51" s="84">
        <v>140</v>
      </c>
    </row>
    <row r="52" s="76" customFormat="1" ht="15.75" customHeight="1">
      <c r="A52" s="77" t="s">
        <v>37</v>
      </c>
      <c r="B52" s="76" t="s">
        <v>100</v>
      </c>
      <c r="C52" s="76" t="s">
        <v>469</v>
      </c>
      <c r="D52" s="77" t="s">
        <v>438</v>
      </c>
      <c r="E52" s="180" t="s">
        <v>439</v>
      </c>
      <c r="F52" s="76" t="s">
        <v>455</v>
      </c>
      <c r="G52" s="76" t="s">
        <v>464</v>
      </c>
      <c r="H52" s="76" t="s">
        <v>193</v>
      </c>
      <c r="I52" s="76" t="s">
        <v>167</v>
      </c>
      <c r="J52" s="76" t="s">
        <v>183</v>
      </c>
      <c r="K52" s="76" t="s">
        <v>442</v>
      </c>
      <c r="O52" s="76" t="s">
        <v>408</v>
      </c>
      <c r="P52" s="76" t="s">
        <v>171</v>
      </c>
      <c r="Q52" s="76" t="s">
        <v>171</v>
      </c>
      <c r="R52" s="77" t="s">
        <v>426</v>
      </c>
      <c r="T52" s="99" t="s">
        <v>174</v>
      </c>
      <c r="W52" s="86">
        <v>11.1</v>
      </c>
      <c r="Y52" s="84">
        <f t="shared" si="48"/>
        <v>101.75999999999999</v>
      </c>
      <c r="Z52" s="84">
        <f t="shared" si="52"/>
        <v>82.319999999999993</v>
      </c>
      <c r="AA52" s="84"/>
      <c r="AB52" s="84"/>
      <c r="AC52" s="84">
        <f t="shared" si="49"/>
        <v>92.159999999999997</v>
      </c>
      <c r="AD52" s="84">
        <f t="shared" si="53"/>
        <v>68.400000000000006</v>
      </c>
      <c r="AE52" s="84"/>
      <c r="AF52" s="84"/>
      <c r="AG52" s="84">
        <f t="shared" si="50"/>
        <v>451.19999999999999</v>
      </c>
      <c r="AH52" s="84">
        <f t="shared" si="54"/>
        <v>63.120000000000005</v>
      </c>
      <c r="AI52" s="84"/>
      <c r="AJ52" s="84"/>
      <c r="AK52" s="84">
        <f t="shared" si="51"/>
        <v>870.24000000000001</v>
      </c>
      <c r="AL52" s="84">
        <f t="shared" si="55"/>
        <v>66</v>
      </c>
      <c r="BM52" s="84">
        <v>42.399999999999999</v>
      </c>
      <c r="BN52" s="84">
        <v>34.299999999999997</v>
      </c>
      <c r="BO52" s="84" t="s">
        <v>175</v>
      </c>
      <c r="BQ52" s="84">
        <v>38.399999999999999</v>
      </c>
      <c r="BR52" s="84">
        <v>28.5</v>
      </c>
      <c r="BS52" s="84" t="s">
        <v>175</v>
      </c>
      <c r="BU52" s="84">
        <v>188</v>
      </c>
      <c r="BV52" s="84">
        <v>26.300000000000001</v>
      </c>
      <c r="BW52" s="84" t="s">
        <v>175</v>
      </c>
      <c r="BY52" s="84">
        <v>362.60000000000002</v>
      </c>
      <c r="BZ52" s="84">
        <v>27.5</v>
      </c>
      <c r="CA52" s="84" t="s">
        <v>175</v>
      </c>
      <c r="CC52" s="84">
        <v>140</v>
      </c>
      <c r="CD52" s="84">
        <v>140</v>
      </c>
      <c r="CE52" s="84">
        <v>140</v>
      </c>
      <c r="CF52" s="84">
        <v>140</v>
      </c>
      <c r="CG52" s="84">
        <v>140</v>
      </c>
      <c r="CH52" s="84">
        <v>140</v>
      </c>
      <c r="CI52" s="84">
        <v>140</v>
      </c>
      <c r="CJ52" s="84">
        <v>140</v>
      </c>
    </row>
    <row r="53" s="76" customFormat="1" ht="15.75" customHeight="1">
      <c r="A53" s="77" t="s">
        <v>37</v>
      </c>
      <c r="B53" s="76" t="s">
        <v>100</v>
      </c>
      <c r="C53" s="76" t="s">
        <v>470</v>
      </c>
      <c r="D53" s="77" t="s">
        <v>438</v>
      </c>
      <c r="E53" s="180" t="s">
        <v>439</v>
      </c>
      <c r="F53" s="76" t="s">
        <v>455</v>
      </c>
      <c r="G53" s="76" t="s">
        <v>464</v>
      </c>
      <c r="H53" s="76" t="s">
        <v>193</v>
      </c>
      <c r="I53" s="76" t="s">
        <v>167</v>
      </c>
      <c r="J53" s="76" t="s">
        <v>168</v>
      </c>
      <c r="K53" s="76" t="s">
        <v>301</v>
      </c>
      <c r="O53" s="76" t="s">
        <v>408</v>
      </c>
      <c r="P53" s="76" t="s">
        <v>171</v>
      </c>
      <c r="Q53" s="76" t="s">
        <v>171</v>
      </c>
      <c r="R53" s="77" t="s">
        <v>426</v>
      </c>
      <c r="T53" s="99" t="s">
        <v>174</v>
      </c>
      <c r="W53" s="86">
        <v>14</v>
      </c>
      <c r="Y53" s="84">
        <f t="shared" si="48"/>
        <v>113.75999999999999</v>
      </c>
      <c r="Z53" s="84">
        <f t="shared" si="52"/>
        <v>105.36</v>
      </c>
      <c r="AA53" s="84"/>
      <c r="AB53" s="84"/>
      <c r="AC53" s="84">
        <f t="shared" si="49"/>
        <v>112.8</v>
      </c>
      <c r="AD53" s="84">
        <f t="shared" si="53"/>
        <v>89.759999999999991</v>
      </c>
      <c r="AE53" s="84"/>
      <c r="AF53" s="84"/>
      <c r="AG53" s="84">
        <f t="shared" si="50"/>
        <v>418.07999999999998</v>
      </c>
      <c r="AH53" s="84">
        <f t="shared" si="54"/>
        <v>78.480000000000004</v>
      </c>
      <c r="AI53" s="84"/>
      <c r="AJ53" s="84"/>
      <c r="AK53" s="84">
        <f t="shared" si="51"/>
        <v>1023.6</v>
      </c>
      <c r="AL53" s="84">
        <f t="shared" si="55"/>
        <v>79.200000000000003</v>
      </c>
      <c r="BM53" s="84">
        <v>47.399999999999999</v>
      </c>
      <c r="BN53" s="84">
        <v>43.899999999999999</v>
      </c>
      <c r="BO53" s="84" t="s">
        <v>175</v>
      </c>
      <c r="BQ53" s="84">
        <v>47</v>
      </c>
      <c r="BR53" s="84">
        <v>37.399999999999999</v>
      </c>
      <c r="BS53" s="84" t="s">
        <v>175</v>
      </c>
      <c r="BU53" s="84">
        <v>174.19999999999999</v>
      </c>
      <c r="BV53" s="84">
        <v>32.700000000000003</v>
      </c>
      <c r="BW53" s="84" t="s">
        <v>175</v>
      </c>
      <c r="BY53" s="84">
        <v>426.5</v>
      </c>
      <c r="BZ53" s="84">
        <v>33</v>
      </c>
      <c r="CA53" s="84" t="s">
        <v>175</v>
      </c>
      <c r="CC53" s="84">
        <v>140</v>
      </c>
      <c r="CD53" s="84">
        <v>140</v>
      </c>
      <c r="CE53" s="84">
        <v>140</v>
      </c>
      <c r="CF53" s="84">
        <v>140</v>
      </c>
      <c r="CG53" s="84">
        <v>140</v>
      </c>
      <c r="CH53" s="84">
        <v>140</v>
      </c>
      <c r="CI53" s="84">
        <v>140</v>
      </c>
      <c r="CJ53" s="84">
        <v>140</v>
      </c>
    </row>
    <row r="54" s="76" customFormat="1" ht="15.75" customHeight="1">
      <c r="A54" s="77" t="s">
        <v>37</v>
      </c>
      <c r="B54" s="76" t="s">
        <v>100</v>
      </c>
      <c r="C54" s="76" t="s">
        <v>471</v>
      </c>
      <c r="D54" s="77" t="s">
        <v>438</v>
      </c>
      <c r="E54" s="180" t="s">
        <v>439</v>
      </c>
      <c r="F54" s="76" t="s">
        <v>455</v>
      </c>
      <c r="G54" s="76" t="s">
        <v>464</v>
      </c>
      <c r="H54" s="76" t="s">
        <v>193</v>
      </c>
      <c r="I54" s="76" t="s">
        <v>167</v>
      </c>
      <c r="J54" s="76" t="s">
        <v>168</v>
      </c>
      <c r="K54" s="76" t="s">
        <v>442</v>
      </c>
      <c r="O54" s="76" t="s">
        <v>408</v>
      </c>
      <c r="P54" s="76" t="s">
        <v>171</v>
      </c>
      <c r="Q54" s="76" t="s">
        <v>171</v>
      </c>
      <c r="R54" s="77" t="s">
        <v>426</v>
      </c>
      <c r="T54" s="99" t="s">
        <v>174</v>
      </c>
      <c r="W54" s="86">
        <v>14</v>
      </c>
      <c r="Y54" s="84">
        <f t="shared" si="48"/>
        <v>113.75999999999999</v>
      </c>
      <c r="Z54" s="84">
        <f t="shared" si="52"/>
        <v>105.36</v>
      </c>
      <c r="AA54" s="84"/>
      <c r="AB54" s="84"/>
      <c r="AC54" s="84">
        <f t="shared" si="49"/>
        <v>112.8</v>
      </c>
      <c r="AD54" s="84">
        <f t="shared" si="53"/>
        <v>89.759999999999991</v>
      </c>
      <c r="AE54" s="84"/>
      <c r="AF54" s="84"/>
      <c r="AG54" s="84">
        <f t="shared" si="50"/>
        <v>418.07999999999998</v>
      </c>
      <c r="AH54" s="84">
        <f t="shared" si="54"/>
        <v>78.480000000000004</v>
      </c>
      <c r="AI54" s="84"/>
      <c r="AJ54" s="84"/>
      <c r="AK54" s="84">
        <f t="shared" si="51"/>
        <v>1023.6</v>
      </c>
      <c r="AL54" s="84">
        <f t="shared" si="55"/>
        <v>79.200000000000003</v>
      </c>
      <c r="BM54" s="84">
        <v>47.399999999999999</v>
      </c>
      <c r="BN54" s="84">
        <v>43.899999999999999</v>
      </c>
      <c r="BO54" s="84" t="s">
        <v>175</v>
      </c>
      <c r="BQ54" s="84">
        <v>47</v>
      </c>
      <c r="BR54" s="84">
        <v>37.399999999999999</v>
      </c>
      <c r="BS54" s="84" t="s">
        <v>175</v>
      </c>
      <c r="BU54" s="84">
        <v>174.19999999999999</v>
      </c>
      <c r="BV54" s="84">
        <v>32.700000000000003</v>
      </c>
      <c r="BW54" s="84" t="s">
        <v>175</v>
      </c>
      <c r="BY54" s="84">
        <v>426.5</v>
      </c>
      <c r="BZ54" s="84">
        <v>33</v>
      </c>
      <c r="CA54" s="84" t="s">
        <v>175</v>
      </c>
      <c r="CC54" s="84">
        <v>140</v>
      </c>
      <c r="CD54" s="84">
        <v>140</v>
      </c>
      <c r="CE54" s="84">
        <v>140</v>
      </c>
      <c r="CF54" s="84">
        <v>140</v>
      </c>
      <c r="CG54" s="84">
        <v>140</v>
      </c>
      <c r="CH54" s="84">
        <v>140</v>
      </c>
      <c r="CI54" s="84">
        <v>140</v>
      </c>
      <c r="CJ54" s="84">
        <v>140</v>
      </c>
    </row>
    <row r="55" ht="15.75" customHeight="1">
      <c r="A55" s="57" t="s">
        <v>37</v>
      </c>
      <c r="B55" s="51" t="s">
        <v>100</v>
      </c>
      <c r="C55" s="51" t="s">
        <v>472</v>
      </c>
      <c r="D55" s="57" t="s">
        <v>438</v>
      </c>
      <c r="E55" s="180" t="s">
        <v>439</v>
      </c>
      <c r="F55" s="51" t="s">
        <v>455</v>
      </c>
      <c r="G55" s="51" t="s">
        <v>285</v>
      </c>
      <c r="H55" s="51" t="s">
        <v>204</v>
      </c>
      <c r="I55" s="51" t="s">
        <v>167</v>
      </c>
      <c r="J55" s="51" t="s">
        <v>300</v>
      </c>
      <c r="K55" s="51" t="s">
        <v>301</v>
      </c>
      <c r="O55" s="51" t="s">
        <v>408</v>
      </c>
      <c r="P55" s="51" t="s">
        <v>171</v>
      </c>
      <c r="Q55" s="51" t="s">
        <v>171</v>
      </c>
      <c r="R55" s="57" t="s">
        <v>473</v>
      </c>
      <c r="T55" s="106" t="s">
        <v>174</v>
      </c>
      <c r="W55" s="64">
        <v>11.300000000000001</v>
      </c>
      <c r="Y55" s="62">
        <f t="shared" si="48"/>
        <v>284.15999999999997</v>
      </c>
      <c r="Z55" s="62">
        <f t="shared" si="52"/>
        <v>100.68000000000001</v>
      </c>
      <c r="AA55" s="62"/>
      <c r="AB55" s="62"/>
      <c r="AC55" s="62">
        <f t="shared" si="49"/>
        <v>342.24000000000001</v>
      </c>
      <c r="AD55" s="62">
        <f t="shared" si="53"/>
        <v>84.840000000000003</v>
      </c>
      <c r="AE55" s="62"/>
      <c r="AF55" s="62"/>
      <c r="AG55" s="62">
        <f t="shared" si="50"/>
        <v>481.68000000000001</v>
      </c>
      <c r="AH55" s="62">
        <f t="shared" si="54"/>
        <v>80.519999999999996</v>
      </c>
      <c r="AI55" s="62"/>
      <c r="AJ55" s="62"/>
      <c r="AK55" s="62">
        <f t="shared" si="51"/>
        <v>820.55999999999995</v>
      </c>
      <c r="AL55" s="62">
        <f t="shared" si="55"/>
        <v>73.799999999999997</v>
      </c>
      <c r="BM55" s="62">
        <v>118.40000000000001</v>
      </c>
      <c r="BN55" s="62">
        <v>41.950000000000003</v>
      </c>
      <c r="BO55" s="62" t="s">
        <v>175</v>
      </c>
      <c r="BQ55" s="62">
        <v>142.59999999999999</v>
      </c>
      <c r="BR55" s="62">
        <v>35.350000000000001</v>
      </c>
      <c r="BS55" s="62" t="s">
        <v>175</v>
      </c>
      <c r="BU55" s="62">
        <v>200.69999999999999</v>
      </c>
      <c r="BV55" s="62">
        <v>33.549999999999997</v>
      </c>
      <c r="BW55" s="62" t="s">
        <v>175</v>
      </c>
      <c r="BY55" s="62">
        <v>341.89999999999998</v>
      </c>
      <c r="BZ55" s="62">
        <v>30.75</v>
      </c>
      <c r="CA55" s="62" t="s">
        <v>175</v>
      </c>
      <c r="CC55" s="62">
        <v>140</v>
      </c>
      <c r="CD55" s="62">
        <v>140</v>
      </c>
      <c r="CE55" s="62">
        <v>140</v>
      </c>
      <c r="CF55" s="62">
        <v>140</v>
      </c>
      <c r="CG55" s="62">
        <v>140</v>
      </c>
      <c r="CH55" s="62">
        <v>140</v>
      </c>
      <c r="CI55" s="62">
        <v>140</v>
      </c>
      <c r="CJ55" s="62">
        <v>140</v>
      </c>
    </row>
    <row r="56" ht="15.75" customHeight="1">
      <c r="A56" s="57" t="s">
        <v>37</v>
      </c>
      <c r="B56" s="51" t="s">
        <v>100</v>
      </c>
      <c r="C56" s="51" t="s">
        <v>474</v>
      </c>
      <c r="D56" s="57" t="s">
        <v>438</v>
      </c>
      <c r="E56" s="180" t="s">
        <v>439</v>
      </c>
      <c r="F56" s="51" t="s">
        <v>455</v>
      </c>
      <c r="G56" s="51" t="s">
        <v>285</v>
      </c>
      <c r="H56" s="51" t="s">
        <v>204</v>
      </c>
      <c r="I56" s="51" t="s">
        <v>167</v>
      </c>
      <c r="J56" s="51" t="s">
        <v>300</v>
      </c>
      <c r="K56" s="51" t="s">
        <v>442</v>
      </c>
      <c r="O56" s="51" t="s">
        <v>408</v>
      </c>
      <c r="P56" s="51" t="s">
        <v>171</v>
      </c>
      <c r="Q56" s="51" t="s">
        <v>171</v>
      </c>
      <c r="R56" s="57" t="s">
        <v>473</v>
      </c>
      <c r="T56" s="106" t="s">
        <v>174</v>
      </c>
      <c r="W56" s="64">
        <v>11.300000000000001</v>
      </c>
      <c r="Y56" s="62">
        <f t="shared" si="48"/>
        <v>284.15999999999997</v>
      </c>
      <c r="Z56" s="62">
        <f t="shared" si="52"/>
        <v>100.68000000000001</v>
      </c>
      <c r="AA56" s="62"/>
      <c r="AB56" s="62"/>
      <c r="AC56" s="62">
        <f t="shared" si="49"/>
        <v>342.24000000000001</v>
      </c>
      <c r="AD56" s="62">
        <f t="shared" si="53"/>
        <v>84.840000000000003</v>
      </c>
      <c r="AE56" s="62"/>
      <c r="AF56" s="62"/>
      <c r="AG56" s="62">
        <f t="shared" si="50"/>
        <v>481.68000000000001</v>
      </c>
      <c r="AH56" s="62">
        <f t="shared" si="54"/>
        <v>80.519999999999996</v>
      </c>
      <c r="AI56" s="62"/>
      <c r="AJ56" s="62"/>
      <c r="AK56" s="62">
        <f t="shared" si="51"/>
        <v>820.55999999999995</v>
      </c>
      <c r="AL56" s="62">
        <f t="shared" si="55"/>
        <v>73.799999999999997</v>
      </c>
      <c r="BM56" s="62">
        <v>118.40000000000001</v>
      </c>
      <c r="BN56" s="62">
        <v>41.950000000000003</v>
      </c>
      <c r="BO56" s="62" t="s">
        <v>175</v>
      </c>
      <c r="BQ56" s="62">
        <v>142.59999999999999</v>
      </c>
      <c r="BR56" s="62">
        <v>35.350000000000001</v>
      </c>
      <c r="BS56" s="62" t="s">
        <v>175</v>
      </c>
      <c r="BU56" s="62">
        <v>200.69999999999999</v>
      </c>
      <c r="BV56" s="62">
        <v>33.549999999999997</v>
      </c>
      <c r="BW56" s="62" t="s">
        <v>175</v>
      </c>
      <c r="BY56" s="62">
        <v>341.89999999999998</v>
      </c>
      <c r="BZ56" s="62">
        <v>30.75</v>
      </c>
      <c r="CA56" s="62" t="s">
        <v>175</v>
      </c>
      <c r="CC56" s="62">
        <v>140</v>
      </c>
      <c r="CD56" s="62">
        <v>140</v>
      </c>
      <c r="CE56" s="62">
        <v>140</v>
      </c>
      <c r="CF56" s="62">
        <v>140</v>
      </c>
      <c r="CG56" s="62">
        <v>140</v>
      </c>
      <c r="CH56" s="62">
        <v>140</v>
      </c>
      <c r="CI56" s="62">
        <v>140</v>
      </c>
      <c r="CJ56" s="62">
        <v>140</v>
      </c>
    </row>
    <row r="57" ht="15.75" customHeight="1">
      <c r="A57" s="57" t="s">
        <v>37</v>
      </c>
      <c r="B57" s="51" t="s">
        <v>100</v>
      </c>
      <c r="C57" s="51" t="s">
        <v>475</v>
      </c>
      <c r="D57" s="57" t="s">
        <v>438</v>
      </c>
      <c r="E57" s="180" t="s">
        <v>439</v>
      </c>
      <c r="F57" s="51" t="s">
        <v>455</v>
      </c>
      <c r="G57" s="51" t="s">
        <v>285</v>
      </c>
      <c r="H57" s="51" t="s">
        <v>204</v>
      </c>
      <c r="I57" s="51" t="s">
        <v>167</v>
      </c>
      <c r="J57" s="51" t="s">
        <v>286</v>
      </c>
      <c r="K57" s="51" t="s">
        <v>301</v>
      </c>
      <c r="O57" s="51" t="s">
        <v>408</v>
      </c>
      <c r="P57" s="51" t="s">
        <v>171</v>
      </c>
      <c r="Q57" s="51" t="s">
        <v>171</v>
      </c>
      <c r="R57" s="57" t="s">
        <v>473</v>
      </c>
      <c r="T57" s="106" t="s">
        <v>174</v>
      </c>
      <c r="W57" s="64">
        <v>14.4</v>
      </c>
      <c r="Y57" s="62">
        <f t="shared" ref="Y57:Y101" si="56">AO57+(AO57*BE57/100)+BM57+(BM57*CC57/100)</f>
        <v>289.44</v>
      </c>
      <c r="Z57" s="62">
        <f t="shared" ref="Z57:Z101" si="57">AP57+(AP57*BF57/100)+BN57+(BN57*CD57/100)</f>
        <v>131.16</v>
      </c>
      <c r="AA57" s="62"/>
      <c r="AB57" s="62"/>
      <c r="AC57" s="62">
        <f t="shared" ref="AC57:AC101" si="58">AS57+(AS57*BG57/100)+BQ57+(BQ57*CE57/100)</f>
        <v>407.75999999999999</v>
      </c>
      <c r="AD57" s="62">
        <f t="shared" ref="AD57:AD101" si="59">AT57+(AT57*BH57/100)+BR57+(BR57*CF57/100)</f>
        <v>98.039999999999992</v>
      </c>
      <c r="AE57" s="62"/>
      <c r="AF57" s="62"/>
      <c r="AG57" s="62">
        <f t="shared" ref="AG57:AG101" si="60">AW57+(AW57*BI57/100)+BU57+(BU57*CG57/100)</f>
        <v>509.03999999999996</v>
      </c>
      <c r="AH57" s="62">
        <f t="shared" ref="AH57:AH101" si="61">AX57+(AX57*BJ57/100)+BV57+(BV57*CH57/100)</f>
        <v>87.719999999999999</v>
      </c>
      <c r="AI57" s="62"/>
      <c r="AJ57" s="62"/>
      <c r="AK57" s="62">
        <f t="shared" ref="AK57:AK101" si="62">BA57+(BA57*BK57/100)+BY57+(BY57*CI57/100)</f>
        <v>953.51999999999998</v>
      </c>
      <c r="AL57" s="62">
        <f t="shared" ref="AL57:AL101" si="63">BB57+(BB57*BL57/100)+BZ57+(BZ57*CJ57/100)</f>
        <v>87</v>
      </c>
      <c r="BM57" s="62">
        <v>120.59999999999999</v>
      </c>
      <c r="BN57" s="62">
        <v>54.649999999999999</v>
      </c>
      <c r="BO57" s="62" t="s">
        <v>175</v>
      </c>
      <c r="BQ57" s="62">
        <v>169.90000000000001</v>
      </c>
      <c r="BR57" s="62">
        <v>40.850000000000001</v>
      </c>
      <c r="BS57" s="62" t="s">
        <v>175</v>
      </c>
      <c r="BU57" s="62">
        <v>212.09999999999999</v>
      </c>
      <c r="BV57" s="62">
        <v>36.549999999999997</v>
      </c>
      <c r="BW57" s="62" t="s">
        <v>175</v>
      </c>
      <c r="BY57" s="62">
        <v>397.30000000000001</v>
      </c>
      <c r="BZ57" s="62">
        <v>36.25</v>
      </c>
      <c r="CA57" s="62" t="s">
        <v>175</v>
      </c>
      <c r="CC57" s="62">
        <v>140</v>
      </c>
      <c r="CD57" s="62">
        <v>140</v>
      </c>
      <c r="CE57" s="62">
        <v>140</v>
      </c>
      <c r="CF57" s="62">
        <v>140</v>
      </c>
      <c r="CG57" s="62">
        <v>140</v>
      </c>
      <c r="CH57" s="62">
        <v>140</v>
      </c>
      <c r="CI57" s="62">
        <v>140</v>
      </c>
      <c r="CJ57" s="62">
        <v>140</v>
      </c>
    </row>
    <row r="58" ht="15.75" customHeight="1">
      <c r="A58" s="57" t="s">
        <v>37</v>
      </c>
      <c r="B58" s="51" t="s">
        <v>100</v>
      </c>
      <c r="C58" s="51" t="s">
        <v>476</v>
      </c>
      <c r="D58" s="57" t="s">
        <v>438</v>
      </c>
      <c r="E58" s="180" t="s">
        <v>439</v>
      </c>
      <c r="F58" s="51" t="s">
        <v>455</v>
      </c>
      <c r="G58" s="51" t="s">
        <v>285</v>
      </c>
      <c r="H58" s="51" t="s">
        <v>204</v>
      </c>
      <c r="I58" s="51" t="s">
        <v>167</v>
      </c>
      <c r="J58" s="51" t="s">
        <v>286</v>
      </c>
      <c r="K58" s="51" t="s">
        <v>442</v>
      </c>
      <c r="O58" s="51" t="s">
        <v>408</v>
      </c>
      <c r="P58" s="51" t="s">
        <v>171</v>
      </c>
      <c r="Q58" s="51" t="s">
        <v>171</v>
      </c>
      <c r="R58" s="57" t="s">
        <v>473</v>
      </c>
      <c r="T58" s="106" t="s">
        <v>174</v>
      </c>
      <c r="W58" s="64">
        <v>14.4</v>
      </c>
      <c r="Y58" s="62">
        <f t="shared" si="56"/>
        <v>289.44</v>
      </c>
      <c r="Z58" s="62">
        <f t="shared" si="57"/>
        <v>131.16</v>
      </c>
      <c r="AA58" s="62"/>
      <c r="AB58" s="62"/>
      <c r="AC58" s="62">
        <f t="shared" si="58"/>
        <v>407.75999999999999</v>
      </c>
      <c r="AD58" s="62">
        <f t="shared" si="59"/>
        <v>98.039999999999992</v>
      </c>
      <c r="AE58" s="62"/>
      <c r="AF58" s="62"/>
      <c r="AG58" s="62">
        <f t="shared" si="60"/>
        <v>509.03999999999996</v>
      </c>
      <c r="AH58" s="62">
        <f t="shared" si="61"/>
        <v>87.719999999999999</v>
      </c>
      <c r="AI58" s="62"/>
      <c r="AJ58" s="62"/>
      <c r="AK58" s="62">
        <f t="shared" si="62"/>
        <v>953.51999999999998</v>
      </c>
      <c r="AL58" s="62">
        <f t="shared" si="63"/>
        <v>87</v>
      </c>
      <c r="BM58" s="62">
        <v>120.59999999999999</v>
      </c>
      <c r="BN58" s="62">
        <v>54.649999999999999</v>
      </c>
      <c r="BO58" s="62" t="s">
        <v>175</v>
      </c>
      <c r="BQ58" s="62">
        <v>169.90000000000001</v>
      </c>
      <c r="BR58" s="62">
        <v>40.850000000000001</v>
      </c>
      <c r="BS58" s="62" t="s">
        <v>175</v>
      </c>
      <c r="BU58" s="62">
        <v>212.09999999999999</v>
      </c>
      <c r="BV58" s="62">
        <v>36.549999999999997</v>
      </c>
      <c r="BW58" s="62" t="s">
        <v>175</v>
      </c>
      <c r="BY58" s="62">
        <v>397.30000000000001</v>
      </c>
      <c r="BZ58" s="62">
        <v>36.25</v>
      </c>
      <c r="CA58" s="62" t="s">
        <v>175</v>
      </c>
      <c r="CC58" s="62">
        <v>140</v>
      </c>
      <c r="CD58" s="62">
        <v>140</v>
      </c>
      <c r="CE58" s="62">
        <v>140</v>
      </c>
      <c r="CF58" s="62">
        <v>140</v>
      </c>
      <c r="CG58" s="62">
        <v>140</v>
      </c>
      <c r="CH58" s="62">
        <v>140</v>
      </c>
      <c r="CI58" s="62">
        <v>140</v>
      </c>
      <c r="CJ58" s="62">
        <v>140</v>
      </c>
    </row>
    <row r="59" ht="15.75" customHeight="1">
      <c r="A59" s="57" t="s">
        <v>37</v>
      </c>
      <c r="B59" s="51" t="s">
        <v>100</v>
      </c>
      <c r="C59" s="51" t="s">
        <v>477</v>
      </c>
      <c r="D59" s="57" t="s">
        <v>438</v>
      </c>
      <c r="E59" s="180" t="s">
        <v>439</v>
      </c>
      <c r="F59" s="51" t="s">
        <v>455</v>
      </c>
      <c r="G59" s="51" t="s">
        <v>285</v>
      </c>
      <c r="H59" s="51" t="s">
        <v>204</v>
      </c>
      <c r="I59" s="51" t="s">
        <v>167</v>
      </c>
      <c r="J59" s="51" t="s">
        <v>183</v>
      </c>
      <c r="K59" s="51" t="s">
        <v>301</v>
      </c>
      <c r="O59" s="51" t="s">
        <v>408</v>
      </c>
      <c r="P59" s="51" t="s">
        <v>171</v>
      </c>
      <c r="Q59" s="51" t="s">
        <v>171</v>
      </c>
      <c r="R59" s="57" t="s">
        <v>473</v>
      </c>
      <c r="T59" s="106" t="s">
        <v>174</v>
      </c>
      <c r="W59" s="64">
        <v>16.899999999999999</v>
      </c>
      <c r="Y59" s="62">
        <f t="shared" si="56"/>
        <v>281.28000000000003</v>
      </c>
      <c r="Z59" s="62">
        <f t="shared" si="57"/>
        <v>119.64000000000001</v>
      </c>
      <c r="AA59" s="62"/>
      <c r="AB59" s="62"/>
      <c r="AC59" s="62">
        <f t="shared" si="58"/>
        <v>357.84000000000003</v>
      </c>
      <c r="AD59" s="62">
        <f t="shared" si="59"/>
        <v>104.75999999999999</v>
      </c>
      <c r="AE59" s="62"/>
      <c r="AF59" s="62"/>
      <c r="AG59" s="62">
        <f t="shared" si="60"/>
        <v>525.12</v>
      </c>
      <c r="AH59" s="62">
        <f t="shared" si="61"/>
        <v>93.960000000000008</v>
      </c>
      <c r="AI59" s="62"/>
      <c r="AJ59" s="62"/>
      <c r="AK59" s="62">
        <f t="shared" si="62"/>
        <v>1006.5599999999999</v>
      </c>
      <c r="AL59" s="62">
        <f t="shared" si="63"/>
        <v>93</v>
      </c>
      <c r="BM59" s="62">
        <v>117.2</v>
      </c>
      <c r="BN59" s="62">
        <v>49.850000000000001</v>
      </c>
      <c r="BO59" s="62" t="s">
        <v>175</v>
      </c>
      <c r="BQ59" s="62">
        <v>149.09999999999999</v>
      </c>
      <c r="BR59" s="62">
        <v>43.649999999999999</v>
      </c>
      <c r="BS59" s="62" t="s">
        <v>175</v>
      </c>
      <c r="BU59" s="62">
        <v>218.80000000000001</v>
      </c>
      <c r="BV59" s="62">
        <v>39.149999999999999</v>
      </c>
      <c r="BW59" s="62" t="s">
        <v>175</v>
      </c>
      <c r="BY59" s="62">
        <v>419.39999999999998</v>
      </c>
      <c r="BZ59" s="62">
        <v>38.75</v>
      </c>
      <c r="CA59" s="62" t="s">
        <v>175</v>
      </c>
      <c r="CC59" s="62">
        <v>140</v>
      </c>
      <c r="CD59" s="62">
        <v>140</v>
      </c>
      <c r="CE59" s="62">
        <v>140</v>
      </c>
      <c r="CF59" s="62">
        <v>140</v>
      </c>
      <c r="CG59" s="62">
        <v>140</v>
      </c>
      <c r="CH59" s="62">
        <v>140</v>
      </c>
      <c r="CI59" s="62">
        <v>140</v>
      </c>
      <c r="CJ59" s="62">
        <v>140</v>
      </c>
    </row>
    <row r="60" ht="15.75" customHeight="1">
      <c r="A60" s="57" t="s">
        <v>37</v>
      </c>
      <c r="B60" s="51" t="s">
        <v>100</v>
      </c>
      <c r="C60" s="51" t="s">
        <v>478</v>
      </c>
      <c r="D60" s="57" t="s">
        <v>438</v>
      </c>
      <c r="E60" s="180" t="s">
        <v>439</v>
      </c>
      <c r="F60" s="51" t="s">
        <v>455</v>
      </c>
      <c r="G60" s="51" t="s">
        <v>285</v>
      </c>
      <c r="H60" s="51" t="s">
        <v>204</v>
      </c>
      <c r="I60" s="51" t="s">
        <v>167</v>
      </c>
      <c r="J60" s="51" t="s">
        <v>183</v>
      </c>
      <c r="K60" s="51" t="s">
        <v>442</v>
      </c>
      <c r="O60" s="51" t="s">
        <v>408</v>
      </c>
      <c r="P60" s="51" t="s">
        <v>171</v>
      </c>
      <c r="Q60" s="51" t="s">
        <v>171</v>
      </c>
      <c r="R60" s="57" t="s">
        <v>473</v>
      </c>
      <c r="T60" s="106" t="s">
        <v>174</v>
      </c>
      <c r="W60" s="64">
        <v>16.899999999999999</v>
      </c>
      <c r="Y60" s="62">
        <f t="shared" si="56"/>
        <v>281.28000000000003</v>
      </c>
      <c r="Z60" s="62">
        <f t="shared" si="57"/>
        <v>119.64000000000001</v>
      </c>
      <c r="AA60" s="62"/>
      <c r="AB60" s="62"/>
      <c r="AC60" s="62">
        <f t="shared" si="58"/>
        <v>357.84000000000003</v>
      </c>
      <c r="AD60" s="62">
        <f t="shared" si="59"/>
        <v>104.75999999999999</v>
      </c>
      <c r="AE60" s="62"/>
      <c r="AF60" s="62"/>
      <c r="AG60" s="62">
        <f t="shared" si="60"/>
        <v>525.12</v>
      </c>
      <c r="AH60" s="62">
        <f t="shared" si="61"/>
        <v>93.960000000000008</v>
      </c>
      <c r="AI60" s="62"/>
      <c r="AJ60" s="62"/>
      <c r="AK60" s="62">
        <f t="shared" si="62"/>
        <v>1006.5599999999999</v>
      </c>
      <c r="AL60" s="62">
        <f t="shared" si="63"/>
        <v>93</v>
      </c>
      <c r="BM60" s="62">
        <v>117.2</v>
      </c>
      <c r="BN60" s="62">
        <v>49.850000000000001</v>
      </c>
      <c r="BO60" s="62" t="s">
        <v>175</v>
      </c>
      <c r="BQ60" s="62">
        <v>149.09999999999999</v>
      </c>
      <c r="BR60" s="62">
        <v>43.649999999999999</v>
      </c>
      <c r="BS60" s="62" t="s">
        <v>175</v>
      </c>
      <c r="BU60" s="62">
        <v>218.80000000000001</v>
      </c>
      <c r="BV60" s="62">
        <v>39.149999999999999</v>
      </c>
      <c r="BW60" s="62" t="s">
        <v>175</v>
      </c>
      <c r="BY60" s="62">
        <v>419.39999999999998</v>
      </c>
      <c r="BZ60" s="62">
        <v>38.75</v>
      </c>
      <c r="CA60" s="62" t="s">
        <v>175</v>
      </c>
      <c r="CC60" s="62">
        <v>140</v>
      </c>
      <c r="CD60" s="62">
        <v>140</v>
      </c>
      <c r="CE60" s="62">
        <v>140</v>
      </c>
      <c r="CF60" s="62">
        <v>140</v>
      </c>
      <c r="CG60" s="62">
        <v>140</v>
      </c>
      <c r="CH60" s="62">
        <v>140</v>
      </c>
      <c r="CI60" s="62">
        <v>140</v>
      </c>
      <c r="CJ60" s="62">
        <v>140</v>
      </c>
    </row>
    <row r="61" s="76" customFormat="1" ht="15.75" customHeight="1">
      <c r="A61" s="77" t="s">
        <v>38</v>
      </c>
      <c r="B61" s="76" t="s">
        <v>107</v>
      </c>
      <c r="C61" s="76" t="s">
        <v>479</v>
      </c>
      <c r="D61" s="77" t="s">
        <v>480</v>
      </c>
      <c r="E61" s="179" t="s">
        <v>481</v>
      </c>
      <c r="F61" s="76" t="s">
        <v>440</v>
      </c>
      <c r="H61" s="76" t="s">
        <v>299</v>
      </c>
      <c r="I61" s="76" t="s">
        <v>167</v>
      </c>
      <c r="J61" s="76" t="s">
        <v>300</v>
      </c>
      <c r="K61" s="76" t="s">
        <v>301</v>
      </c>
      <c r="L61" s="76" t="s">
        <v>167</v>
      </c>
      <c r="M61" s="76" t="s">
        <v>168</v>
      </c>
      <c r="N61" s="76" t="s">
        <v>301</v>
      </c>
      <c r="O61" s="76" t="s">
        <v>408</v>
      </c>
      <c r="P61" s="76" t="s">
        <v>171</v>
      </c>
      <c r="Q61" s="76" t="s">
        <v>171</v>
      </c>
      <c r="R61" s="77" t="s">
        <v>482</v>
      </c>
      <c r="T61" s="99" t="s">
        <v>174</v>
      </c>
      <c r="W61" s="86">
        <v>19.5</v>
      </c>
      <c r="Y61" s="84">
        <f t="shared" si="56"/>
        <v>245.03999999999999</v>
      </c>
      <c r="Z61" s="84">
        <f t="shared" si="57"/>
        <v>206.40000000000001</v>
      </c>
      <c r="AA61" s="84"/>
      <c r="AB61" s="84"/>
      <c r="AC61" s="84">
        <f t="shared" si="58"/>
        <v>217.68000000000001</v>
      </c>
      <c r="AD61" s="84">
        <f t="shared" si="59"/>
        <v>180.72</v>
      </c>
      <c r="AE61" s="84"/>
      <c r="AF61" s="84"/>
      <c r="AG61" s="84">
        <f t="shared" si="60"/>
        <v>491.27999999999997</v>
      </c>
      <c r="AH61" s="84">
        <f t="shared" si="61"/>
        <v>192.48000000000002</v>
      </c>
      <c r="AI61" s="84"/>
      <c r="AJ61" s="84"/>
      <c r="AK61" s="84">
        <f t="shared" si="62"/>
        <v>2086.3199999999997</v>
      </c>
      <c r="AL61" s="84">
        <f t="shared" si="63"/>
        <v>192.48000000000002</v>
      </c>
      <c r="BM61" s="84">
        <v>102.09999999999999</v>
      </c>
      <c r="BN61" s="84">
        <v>86</v>
      </c>
      <c r="BO61" s="84" t="s">
        <v>175</v>
      </c>
      <c r="BQ61" s="84">
        <v>90.700000000000003</v>
      </c>
      <c r="BR61" s="84">
        <v>75.299999999999997</v>
      </c>
      <c r="BS61" s="84" t="s">
        <v>175</v>
      </c>
      <c r="BU61" s="84">
        <v>204.69999999999999</v>
      </c>
      <c r="BV61" s="84">
        <v>80.200000000000003</v>
      </c>
      <c r="BW61" s="84" t="s">
        <v>175</v>
      </c>
      <c r="BY61" s="84">
        <v>869.29999999999995</v>
      </c>
      <c r="BZ61" s="84">
        <v>80.200000000000003</v>
      </c>
      <c r="CA61" s="84" t="s">
        <v>175</v>
      </c>
      <c r="CC61" s="84">
        <v>140</v>
      </c>
      <c r="CD61" s="84">
        <v>140</v>
      </c>
      <c r="CE61" s="84">
        <v>140</v>
      </c>
      <c r="CF61" s="84">
        <v>140</v>
      </c>
      <c r="CG61" s="84">
        <v>140</v>
      </c>
      <c r="CH61" s="84">
        <v>140</v>
      </c>
      <c r="CI61" s="84">
        <v>140</v>
      </c>
      <c r="CJ61" s="84">
        <v>140</v>
      </c>
    </row>
    <row r="62" s="76" customFormat="1" ht="15.75" customHeight="1">
      <c r="A62" s="77" t="s">
        <v>38</v>
      </c>
      <c r="B62" s="76" t="s">
        <v>107</v>
      </c>
      <c r="C62" s="76" t="s">
        <v>483</v>
      </c>
      <c r="D62" s="77" t="s">
        <v>480</v>
      </c>
      <c r="E62" s="179" t="s">
        <v>481</v>
      </c>
      <c r="F62" s="76" t="s">
        <v>440</v>
      </c>
      <c r="H62" s="76" t="s">
        <v>299</v>
      </c>
      <c r="I62" s="76" t="s">
        <v>167</v>
      </c>
      <c r="J62" s="76" t="s">
        <v>300</v>
      </c>
      <c r="K62" s="76" t="s">
        <v>442</v>
      </c>
      <c r="L62" s="76" t="s">
        <v>167</v>
      </c>
      <c r="M62" s="76" t="s">
        <v>168</v>
      </c>
      <c r="N62" s="76" t="s">
        <v>442</v>
      </c>
      <c r="O62" s="76" t="s">
        <v>408</v>
      </c>
      <c r="P62" s="76" t="s">
        <v>171</v>
      </c>
      <c r="Q62" s="76" t="s">
        <v>171</v>
      </c>
      <c r="R62" s="77" t="s">
        <v>482</v>
      </c>
      <c r="T62" s="99" t="s">
        <v>174</v>
      </c>
      <c r="W62" s="86">
        <v>19.5</v>
      </c>
      <c r="Y62" s="84">
        <f t="shared" si="56"/>
        <v>245.03999999999999</v>
      </c>
      <c r="Z62" s="84">
        <f t="shared" si="57"/>
        <v>206.40000000000001</v>
      </c>
      <c r="AA62" s="84"/>
      <c r="AB62" s="84"/>
      <c r="AC62" s="84">
        <f t="shared" si="58"/>
        <v>217.68000000000001</v>
      </c>
      <c r="AD62" s="84">
        <f t="shared" si="59"/>
        <v>180.72</v>
      </c>
      <c r="AE62" s="84"/>
      <c r="AF62" s="84"/>
      <c r="AG62" s="84">
        <f t="shared" si="60"/>
        <v>491.27999999999997</v>
      </c>
      <c r="AH62" s="84">
        <f t="shared" si="61"/>
        <v>192.48000000000002</v>
      </c>
      <c r="AI62" s="84"/>
      <c r="AJ62" s="84"/>
      <c r="AK62" s="84">
        <f t="shared" si="62"/>
        <v>2086.3199999999997</v>
      </c>
      <c r="AL62" s="84">
        <f t="shared" si="63"/>
        <v>192.48000000000002</v>
      </c>
      <c r="BM62" s="84">
        <v>102.09999999999999</v>
      </c>
      <c r="BN62" s="84">
        <v>86</v>
      </c>
      <c r="BO62" s="84" t="s">
        <v>175</v>
      </c>
      <c r="BQ62" s="84">
        <v>90.700000000000003</v>
      </c>
      <c r="BR62" s="84">
        <v>75.299999999999997</v>
      </c>
      <c r="BS62" s="84" t="s">
        <v>175</v>
      </c>
      <c r="BU62" s="84">
        <v>204.69999999999999</v>
      </c>
      <c r="BV62" s="84">
        <v>80.200000000000003</v>
      </c>
      <c r="BW62" s="84" t="s">
        <v>175</v>
      </c>
      <c r="BY62" s="84">
        <v>869.29999999999995</v>
      </c>
      <c r="BZ62" s="84">
        <v>80.200000000000003</v>
      </c>
      <c r="CA62" s="84" t="s">
        <v>175</v>
      </c>
      <c r="CC62" s="84">
        <v>140</v>
      </c>
      <c r="CD62" s="84">
        <v>140</v>
      </c>
      <c r="CE62" s="84">
        <v>140</v>
      </c>
      <c r="CF62" s="84">
        <v>140</v>
      </c>
      <c r="CG62" s="84">
        <v>140</v>
      </c>
      <c r="CH62" s="84">
        <v>140</v>
      </c>
      <c r="CI62" s="84">
        <v>140</v>
      </c>
      <c r="CJ62" s="84">
        <v>140</v>
      </c>
    </row>
    <row r="63" ht="15.75" customHeight="1">
      <c r="A63" s="57" t="s">
        <v>38</v>
      </c>
      <c r="B63" s="51" t="s">
        <v>107</v>
      </c>
      <c r="C63" s="51" t="s">
        <v>484</v>
      </c>
      <c r="D63" s="57" t="s">
        <v>480</v>
      </c>
      <c r="E63" s="179" t="s">
        <v>481</v>
      </c>
      <c r="F63" s="51" t="s">
        <v>440</v>
      </c>
      <c r="H63" s="51" t="s">
        <v>305</v>
      </c>
      <c r="I63" s="51" t="s">
        <v>167</v>
      </c>
      <c r="J63" s="51" t="s">
        <v>300</v>
      </c>
      <c r="K63" s="51" t="s">
        <v>301</v>
      </c>
      <c r="L63" s="51" t="s">
        <v>167</v>
      </c>
      <c r="M63" s="51" t="s">
        <v>168</v>
      </c>
      <c r="N63" s="51" t="s">
        <v>301</v>
      </c>
      <c r="O63" s="51" t="s">
        <v>408</v>
      </c>
      <c r="P63" s="51" t="s">
        <v>171</v>
      </c>
      <c r="Q63" s="51" t="s">
        <v>171</v>
      </c>
      <c r="R63" s="57" t="s">
        <v>482</v>
      </c>
      <c r="T63" s="106" t="s">
        <v>174</v>
      </c>
      <c r="W63" s="64">
        <v>23.5</v>
      </c>
      <c r="Y63" s="62">
        <f t="shared" si="56"/>
        <v>277.44</v>
      </c>
      <c r="Z63" s="62">
        <f t="shared" si="57"/>
        <v>241.68000000000001</v>
      </c>
      <c r="AA63" s="62"/>
      <c r="AB63" s="62"/>
      <c r="AC63" s="62">
        <f t="shared" si="58"/>
        <v>254.40000000000001</v>
      </c>
      <c r="AD63" s="62">
        <f t="shared" si="59"/>
        <v>210.96000000000001</v>
      </c>
      <c r="AE63" s="62"/>
      <c r="AF63" s="62"/>
      <c r="AG63" s="62">
        <f t="shared" si="60"/>
        <v>564.24000000000001</v>
      </c>
      <c r="AH63" s="62">
        <f t="shared" si="61"/>
        <v>224.88</v>
      </c>
      <c r="AI63" s="62"/>
      <c r="AJ63" s="62"/>
      <c r="AK63" s="62">
        <f t="shared" si="62"/>
        <v>2206.0799999999999</v>
      </c>
      <c r="AL63" s="62">
        <f t="shared" si="63"/>
        <v>224.88</v>
      </c>
      <c r="BM63" s="62">
        <v>115.59999999999999</v>
      </c>
      <c r="BN63" s="62">
        <v>100.7</v>
      </c>
      <c r="BO63" s="62" t="s">
        <v>175</v>
      </c>
      <c r="BQ63" s="62">
        <v>106</v>
      </c>
      <c r="BR63" s="62">
        <v>87.900000000000006</v>
      </c>
      <c r="BS63" s="62" t="s">
        <v>175</v>
      </c>
      <c r="BU63" s="62">
        <v>235.09999999999999</v>
      </c>
      <c r="BV63" s="62">
        <v>93.700000000000003</v>
      </c>
      <c r="BW63" s="62" t="s">
        <v>175</v>
      </c>
      <c r="BY63" s="62">
        <v>919.20000000000005</v>
      </c>
      <c r="BZ63" s="62">
        <v>93.700000000000003</v>
      </c>
      <c r="CA63" s="62" t="s">
        <v>175</v>
      </c>
      <c r="CC63" s="62">
        <v>140</v>
      </c>
      <c r="CD63" s="62">
        <v>140</v>
      </c>
      <c r="CE63" s="62">
        <v>140</v>
      </c>
      <c r="CF63" s="62">
        <v>140</v>
      </c>
      <c r="CG63" s="62">
        <v>140</v>
      </c>
      <c r="CH63" s="62">
        <v>140</v>
      </c>
      <c r="CI63" s="62">
        <v>140</v>
      </c>
      <c r="CJ63" s="62">
        <v>140</v>
      </c>
    </row>
    <row r="64" ht="15.75" customHeight="1">
      <c r="A64" s="57" t="s">
        <v>38</v>
      </c>
      <c r="B64" s="51" t="s">
        <v>107</v>
      </c>
      <c r="C64" s="51" t="s">
        <v>485</v>
      </c>
      <c r="D64" s="57" t="s">
        <v>480</v>
      </c>
      <c r="E64" s="179" t="s">
        <v>481</v>
      </c>
      <c r="F64" s="51" t="s">
        <v>440</v>
      </c>
      <c r="H64" s="51" t="s">
        <v>305</v>
      </c>
      <c r="I64" s="51" t="s">
        <v>167</v>
      </c>
      <c r="J64" s="51" t="s">
        <v>300</v>
      </c>
      <c r="K64" s="51" t="s">
        <v>442</v>
      </c>
      <c r="L64" s="51" t="s">
        <v>167</v>
      </c>
      <c r="M64" s="51" t="s">
        <v>168</v>
      </c>
      <c r="N64" s="51" t="s">
        <v>442</v>
      </c>
      <c r="O64" s="51" t="s">
        <v>408</v>
      </c>
      <c r="P64" s="51" t="s">
        <v>171</v>
      </c>
      <c r="Q64" s="51" t="s">
        <v>171</v>
      </c>
      <c r="R64" s="57" t="s">
        <v>482</v>
      </c>
      <c r="T64" s="106" t="s">
        <v>174</v>
      </c>
      <c r="W64" s="64">
        <v>23.5</v>
      </c>
      <c r="Y64" s="62">
        <f t="shared" si="56"/>
        <v>277.44</v>
      </c>
      <c r="Z64" s="62">
        <f t="shared" si="57"/>
        <v>241.68000000000001</v>
      </c>
      <c r="AA64" s="62"/>
      <c r="AB64" s="62"/>
      <c r="AC64" s="62">
        <f t="shared" si="58"/>
        <v>254.40000000000001</v>
      </c>
      <c r="AD64" s="62">
        <f t="shared" si="59"/>
        <v>210.96000000000001</v>
      </c>
      <c r="AE64" s="62"/>
      <c r="AF64" s="62"/>
      <c r="AG64" s="62">
        <f t="shared" si="60"/>
        <v>564.24000000000001</v>
      </c>
      <c r="AH64" s="62">
        <f t="shared" si="61"/>
        <v>224.88</v>
      </c>
      <c r="AI64" s="62"/>
      <c r="AJ64" s="62"/>
      <c r="AK64" s="62">
        <f t="shared" si="62"/>
        <v>2206.0799999999999</v>
      </c>
      <c r="AL64" s="62">
        <f t="shared" si="63"/>
        <v>224.88</v>
      </c>
      <c r="BM64" s="62">
        <v>115.59999999999999</v>
      </c>
      <c r="BN64" s="62">
        <v>100.7</v>
      </c>
      <c r="BO64" s="62" t="s">
        <v>175</v>
      </c>
      <c r="BQ64" s="62">
        <v>106</v>
      </c>
      <c r="BR64" s="62">
        <v>87.900000000000006</v>
      </c>
      <c r="BS64" s="62" t="s">
        <v>175</v>
      </c>
      <c r="BU64" s="62">
        <v>235.09999999999999</v>
      </c>
      <c r="BV64" s="62">
        <v>93.700000000000003</v>
      </c>
      <c r="BW64" s="62" t="s">
        <v>175</v>
      </c>
      <c r="BY64" s="62">
        <v>919.20000000000005</v>
      </c>
      <c r="BZ64" s="62">
        <v>93.700000000000003</v>
      </c>
      <c r="CA64" s="62" t="s">
        <v>175</v>
      </c>
      <c r="CC64" s="62">
        <v>140</v>
      </c>
      <c r="CD64" s="62">
        <v>140</v>
      </c>
      <c r="CE64" s="62">
        <v>140</v>
      </c>
      <c r="CF64" s="62">
        <v>140</v>
      </c>
      <c r="CG64" s="62">
        <v>140</v>
      </c>
      <c r="CH64" s="62">
        <v>140</v>
      </c>
      <c r="CI64" s="62">
        <v>140</v>
      </c>
      <c r="CJ64" s="62">
        <v>140</v>
      </c>
    </row>
    <row r="65" s="76" customFormat="1" ht="15.75" customHeight="1">
      <c r="A65" s="77" t="s">
        <v>38</v>
      </c>
      <c r="B65" s="76" t="s">
        <v>107</v>
      </c>
      <c r="C65" s="76" t="s">
        <v>486</v>
      </c>
      <c r="D65" s="77" t="s">
        <v>480</v>
      </c>
      <c r="E65" s="179" t="s">
        <v>481</v>
      </c>
      <c r="F65" s="76" t="s">
        <v>440</v>
      </c>
      <c r="H65" s="76" t="s">
        <v>487</v>
      </c>
      <c r="I65" s="76" t="s">
        <v>167</v>
      </c>
      <c r="J65" s="76" t="s">
        <v>300</v>
      </c>
      <c r="K65" s="76" t="s">
        <v>301</v>
      </c>
      <c r="L65" s="76" t="s">
        <v>167</v>
      </c>
      <c r="M65" s="76" t="s">
        <v>168</v>
      </c>
      <c r="N65" s="76" t="s">
        <v>301</v>
      </c>
      <c r="O65" s="76" t="s">
        <v>408</v>
      </c>
      <c r="P65" s="76" t="s">
        <v>171</v>
      </c>
      <c r="Q65" s="76" t="s">
        <v>171</v>
      </c>
      <c r="R65" s="77" t="s">
        <v>482</v>
      </c>
      <c r="T65" s="99" t="s">
        <v>174</v>
      </c>
      <c r="W65" s="86">
        <v>27.5</v>
      </c>
      <c r="Y65" s="84">
        <f t="shared" si="56"/>
        <v>320.88</v>
      </c>
      <c r="Z65" s="84">
        <f t="shared" si="57"/>
        <v>274.56</v>
      </c>
      <c r="AA65" s="84"/>
      <c r="AB65" s="84"/>
      <c r="AC65" s="84">
        <f t="shared" si="58"/>
        <v>290.15999999999997</v>
      </c>
      <c r="AD65" s="84">
        <f t="shared" si="59"/>
        <v>239.51999999999998</v>
      </c>
      <c r="AE65" s="84"/>
      <c r="AF65" s="84"/>
      <c r="AG65" s="84">
        <f t="shared" si="60"/>
        <v>633.12</v>
      </c>
      <c r="AH65" s="84">
        <f t="shared" si="61"/>
        <v>256.80000000000001</v>
      </c>
      <c r="AI65" s="84"/>
      <c r="AJ65" s="84"/>
      <c r="AK65" s="84">
        <f t="shared" si="62"/>
        <v>2615.7600000000002</v>
      </c>
      <c r="AL65" s="84">
        <f t="shared" si="63"/>
        <v>256.80000000000001</v>
      </c>
      <c r="BM65" s="84">
        <v>133.69999999999999</v>
      </c>
      <c r="BN65" s="84">
        <v>114.40000000000001</v>
      </c>
      <c r="BO65" s="84" t="s">
        <v>175</v>
      </c>
      <c r="BQ65" s="84">
        <v>120.90000000000001</v>
      </c>
      <c r="BR65" s="84">
        <v>99.799999999999997</v>
      </c>
      <c r="BS65" s="84" t="s">
        <v>175</v>
      </c>
      <c r="BU65" s="84">
        <v>263.80000000000001</v>
      </c>
      <c r="BV65" s="84">
        <v>107</v>
      </c>
      <c r="BW65" s="84" t="s">
        <v>175</v>
      </c>
      <c r="BY65" s="84">
        <v>1089.9000000000001</v>
      </c>
      <c r="BZ65" s="84">
        <v>107</v>
      </c>
      <c r="CA65" s="84" t="s">
        <v>175</v>
      </c>
      <c r="CC65" s="84">
        <v>140</v>
      </c>
      <c r="CD65" s="84">
        <v>140</v>
      </c>
      <c r="CE65" s="84">
        <v>140</v>
      </c>
      <c r="CF65" s="84">
        <v>140</v>
      </c>
      <c r="CG65" s="84">
        <v>140</v>
      </c>
      <c r="CH65" s="84">
        <v>140</v>
      </c>
      <c r="CI65" s="84">
        <v>140</v>
      </c>
      <c r="CJ65" s="84">
        <v>140</v>
      </c>
    </row>
    <row r="66" s="76" customFormat="1" ht="15.75" customHeight="1">
      <c r="A66" s="77" t="s">
        <v>38</v>
      </c>
      <c r="B66" s="76" t="s">
        <v>107</v>
      </c>
      <c r="C66" s="76" t="s">
        <v>488</v>
      </c>
      <c r="D66" s="77" t="s">
        <v>480</v>
      </c>
      <c r="E66" s="179" t="s">
        <v>481</v>
      </c>
      <c r="F66" s="76" t="s">
        <v>440</v>
      </c>
      <c r="H66" s="76" t="s">
        <v>487</v>
      </c>
      <c r="I66" s="76" t="s">
        <v>167</v>
      </c>
      <c r="J66" s="76" t="s">
        <v>300</v>
      </c>
      <c r="K66" s="76" t="s">
        <v>442</v>
      </c>
      <c r="L66" s="76" t="s">
        <v>167</v>
      </c>
      <c r="M66" s="76" t="s">
        <v>168</v>
      </c>
      <c r="N66" s="76" t="s">
        <v>442</v>
      </c>
      <c r="O66" s="76" t="s">
        <v>408</v>
      </c>
      <c r="P66" s="76" t="s">
        <v>171</v>
      </c>
      <c r="Q66" s="76" t="s">
        <v>171</v>
      </c>
      <c r="R66" s="77" t="s">
        <v>482</v>
      </c>
      <c r="T66" s="99" t="s">
        <v>174</v>
      </c>
      <c r="W66" s="86">
        <v>27.5</v>
      </c>
      <c r="Y66" s="84">
        <f t="shared" si="56"/>
        <v>320.88</v>
      </c>
      <c r="Z66" s="84">
        <f t="shared" si="57"/>
        <v>274.56</v>
      </c>
      <c r="AA66" s="84"/>
      <c r="AB66" s="84"/>
      <c r="AC66" s="84">
        <f t="shared" si="58"/>
        <v>290.15999999999997</v>
      </c>
      <c r="AD66" s="84">
        <f t="shared" si="59"/>
        <v>239.51999999999998</v>
      </c>
      <c r="AE66" s="84"/>
      <c r="AF66" s="84"/>
      <c r="AG66" s="84">
        <f t="shared" si="60"/>
        <v>633.12</v>
      </c>
      <c r="AH66" s="84">
        <f t="shared" si="61"/>
        <v>256.80000000000001</v>
      </c>
      <c r="AI66" s="84"/>
      <c r="AJ66" s="84"/>
      <c r="AK66" s="84">
        <f t="shared" si="62"/>
        <v>2615.7600000000002</v>
      </c>
      <c r="AL66" s="84">
        <f t="shared" si="63"/>
        <v>256.80000000000001</v>
      </c>
      <c r="BM66" s="84">
        <v>133.69999999999999</v>
      </c>
      <c r="BN66" s="84">
        <v>114.40000000000001</v>
      </c>
      <c r="BO66" s="84" t="s">
        <v>175</v>
      </c>
      <c r="BQ66" s="84">
        <v>120.90000000000001</v>
      </c>
      <c r="BR66" s="84">
        <v>99.799999999999997</v>
      </c>
      <c r="BS66" s="84" t="s">
        <v>175</v>
      </c>
      <c r="BU66" s="84">
        <v>263.80000000000001</v>
      </c>
      <c r="BV66" s="84">
        <v>107</v>
      </c>
      <c r="BW66" s="84" t="s">
        <v>175</v>
      </c>
      <c r="BY66" s="84">
        <v>1089.9000000000001</v>
      </c>
      <c r="BZ66" s="84">
        <v>107</v>
      </c>
      <c r="CA66" s="84" t="s">
        <v>175</v>
      </c>
      <c r="CC66" s="84">
        <v>140</v>
      </c>
      <c r="CD66" s="84">
        <v>140</v>
      </c>
      <c r="CE66" s="84">
        <v>140</v>
      </c>
      <c r="CF66" s="84">
        <v>140</v>
      </c>
      <c r="CG66" s="84">
        <v>140</v>
      </c>
      <c r="CH66" s="84">
        <v>140</v>
      </c>
      <c r="CI66" s="84">
        <v>140</v>
      </c>
      <c r="CJ66" s="84">
        <v>140</v>
      </c>
    </row>
    <row r="67" ht="15.75" customHeight="1">
      <c r="A67" s="57" t="s">
        <v>38</v>
      </c>
      <c r="B67" s="51" t="s">
        <v>107</v>
      </c>
      <c r="C67" s="51" t="s">
        <v>489</v>
      </c>
      <c r="D67" s="57" t="s">
        <v>480</v>
      </c>
      <c r="E67" s="179" t="s">
        <v>481</v>
      </c>
      <c r="F67" s="51" t="s">
        <v>440</v>
      </c>
      <c r="H67" s="51" t="s">
        <v>490</v>
      </c>
      <c r="I67" s="51" t="s">
        <v>167</v>
      </c>
      <c r="J67" s="51" t="s">
        <v>300</v>
      </c>
      <c r="K67" s="51" t="s">
        <v>301</v>
      </c>
      <c r="L67" s="51" t="s">
        <v>167</v>
      </c>
      <c r="M67" s="51" t="s">
        <v>168</v>
      </c>
      <c r="N67" s="51" t="s">
        <v>301</v>
      </c>
      <c r="O67" s="51" t="s">
        <v>408</v>
      </c>
      <c r="P67" s="51" t="s">
        <v>171</v>
      </c>
      <c r="Q67" s="51" t="s">
        <v>171</v>
      </c>
      <c r="R67" s="57" t="s">
        <v>482</v>
      </c>
      <c r="T67" s="106" t="s">
        <v>174</v>
      </c>
      <c r="W67" s="64">
        <v>31.5</v>
      </c>
      <c r="Y67" s="62">
        <f t="shared" si="56"/>
        <v>293.03999999999996</v>
      </c>
      <c r="Z67" s="62">
        <f t="shared" si="57"/>
        <v>283.19999999999999</v>
      </c>
      <c r="AA67" s="62"/>
      <c r="AB67" s="62"/>
      <c r="AC67" s="62">
        <f t="shared" si="58"/>
        <v>255.36000000000001</v>
      </c>
      <c r="AD67" s="62">
        <f t="shared" si="59"/>
        <v>255.36000000000001</v>
      </c>
      <c r="AE67" s="62"/>
      <c r="AF67" s="62"/>
      <c r="AG67" s="62">
        <f t="shared" si="60"/>
        <v>787.20000000000005</v>
      </c>
      <c r="AH67" s="62">
        <f t="shared" si="61"/>
        <v>248.16</v>
      </c>
      <c r="AI67" s="62"/>
      <c r="AJ67" s="62"/>
      <c r="AK67" s="62">
        <f t="shared" si="62"/>
        <v>2497.6800000000003</v>
      </c>
      <c r="AL67" s="62">
        <f t="shared" si="63"/>
        <v>235.68000000000001</v>
      </c>
      <c r="BM67" s="62">
        <v>122.09999999999999</v>
      </c>
      <c r="BN67" s="62">
        <v>118</v>
      </c>
      <c r="BO67" s="62" t="s">
        <v>175</v>
      </c>
      <c r="BQ67" s="62">
        <v>106.40000000000001</v>
      </c>
      <c r="BR67" s="62">
        <v>106.40000000000001</v>
      </c>
      <c r="BS67" s="62" t="s">
        <v>175</v>
      </c>
      <c r="BU67" s="62">
        <v>328</v>
      </c>
      <c r="BV67" s="62">
        <v>103.40000000000001</v>
      </c>
      <c r="BW67" s="62" t="s">
        <v>175</v>
      </c>
      <c r="BY67" s="62">
        <v>1040.7</v>
      </c>
      <c r="BZ67" s="62">
        <v>98.200000000000003</v>
      </c>
      <c r="CA67" s="62" t="s">
        <v>175</v>
      </c>
      <c r="CC67" s="62">
        <v>140</v>
      </c>
      <c r="CD67" s="62">
        <v>140</v>
      </c>
      <c r="CE67" s="62">
        <v>140</v>
      </c>
      <c r="CF67" s="62">
        <v>140</v>
      </c>
      <c r="CG67" s="62">
        <v>140</v>
      </c>
      <c r="CH67" s="62">
        <v>140</v>
      </c>
      <c r="CI67" s="62">
        <v>140</v>
      </c>
      <c r="CJ67" s="62">
        <v>140</v>
      </c>
    </row>
    <row r="68" ht="15.75" customHeight="1">
      <c r="A68" s="57" t="s">
        <v>38</v>
      </c>
      <c r="B68" s="51" t="s">
        <v>107</v>
      </c>
      <c r="C68" s="51" t="s">
        <v>491</v>
      </c>
      <c r="D68" s="57" t="s">
        <v>480</v>
      </c>
      <c r="E68" s="179" t="s">
        <v>481</v>
      </c>
      <c r="F68" s="51" t="s">
        <v>440</v>
      </c>
      <c r="H68" s="51" t="s">
        <v>490</v>
      </c>
      <c r="I68" s="51" t="s">
        <v>167</v>
      </c>
      <c r="J68" s="51" t="s">
        <v>300</v>
      </c>
      <c r="K68" s="51" t="s">
        <v>442</v>
      </c>
      <c r="L68" s="51" t="s">
        <v>167</v>
      </c>
      <c r="M68" s="51" t="s">
        <v>168</v>
      </c>
      <c r="N68" s="51" t="s">
        <v>442</v>
      </c>
      <c r="O68" s="51" t="s">
        <v>408</v>
      </c>
      <c r="P68" s="51" t="s">
        <v>171</v>
      </c>
      <c r="Q68" s="51" t="s">
        <v>171</v>
      </c>
      <c r="R68" s="57" t="s">
        <v>482</v>
      </c>
      <c r="T68" s="106" t="s">
        <v>174</v>
      </c>
      <c r="W68" s="64">
        <v>31.5</v>
      </c>
      <c r="Y68" s="62">
        <f t="shared" si="56"/>
        <v>293.03999999999996</v>
      </c>
      <c r="Z68" s="62">
        <f t="shared" si="57"/>
        <v>283.19999999999999</v>
      </c>
      <c r="AA68" s="62"/>
      <c r="AB68" s="62"/>
      <c r="AC68" s="62">
        <f t="shared" si="58"/>
        <v>255.36000000000001</v>
      </c>
      <c r="AD68" s="62">
        <f t="shared" si="59"/>
        <v>255.36000000000001</v>
      </c>
      <c r="AE68" s="62"/>
      <c r="AF68" s="62"/>
      <c r="AG68" s="62">
        <f t="shared" si="60"/>
        <v>787.20000000000005</v>
      </c>
      <c r="AH68" s="62">
        <f t="shared" si="61"/>
        <v>248.16</v>
      </c>
      <c r="AI68" s="62"/>
      <c r="AJ68" s="62"/>
      <c r="AK68" s="62">
        <f t="shared" si="62"/>
        <v>2497.6800000000003</v>
      </c>
      <c r="AL68" s="62">
        <f t="shared" si="63"/>
        <v>235.68000000000001</v>
      </c>
      <c r="BM68" s="62">
        <v>122.09999999999999</v>
      </c>
      <c r="BN68" s="62">
        <v>118</v>
      </c>
      <c r="BO68" s="62" t="s">
        <v>175</v>
      </c>
      <c r="BQ68" s="62">
        <v>106.40000000000001</v>
      </c>
      <c r="BR68" s="62">
        <v>106.40000000000001</v>
      </c>
      <c r="BS68" s="62" t="s">
        <v>175</v>
      </c>
      <c r="BU68" s="62">
        <v>328</v>
      </c>
      <c r="BV68" s="62">
        <v>103.40000000000001</v>
      </c>
      <c r="BW68" s="62" t="s">
        <v>175</v>
      </c>
      <c r="BY68" s="62">
        <v>1040.7</v>
      </c>
      <c r="BZ68" s="62">
        <v>98.200000000000003</v>
      </c>
      <c r="CA68" s="62" t="s">
        <v>175</v>
      </c>
      <c r="CC68" s="62">
        <v>140</v>
      </c>
      <c r="CD68" s="62">
        <v>140</v>
      </c>
      <c r="CE68" s="62">
        <v>140</v>
      </c>
      <c r="CF68" s="62">
        <v>140</v>
      </c>
      <c r="CG68" s="62">
        <v>140</v>
      </c>
      <c r="CH68" s="62">
        <v>140</v>
      </c>
      <c r="CI68" s="62">
        <v>140</v>
      </c>
      <c r="CJ68" s="62">
        <v>140</v>
      </c>
    </row>
    <row r="69" s="76" customFormat="1" ht="15.75" customHeight="1">
      <c r="A69" s="77" t="s">
        <v>38</v>
      </c>
      <c r="B69" s="76" t="s">
        <v>107</v>
      </c>
      <c r="C69" s="76" t="s">
        <v>492</v>
      </c>
      <c r="D69" s="77" t="s">
        <v>480</v>
      </c>
      <c r="E69" s="179" t="s">
        <v>481</v>
      </c>
      <c r="F69" s="76" t="s">
        <v>440</v>
      </c>
      <c r="H69" s="76" t="s">
        <v>493</v>
      </c>
      <c r="I69" s="76" t="s">
        <v>167</v>
      </c>
      <c r="J69" s="76" t="s">
        <v>300</v>
      </c>
      <c r="K69" s="76" t="s">
        <v>301</v>
      </c>
      <c r="L69" s="76" t="s">
        <v>167</v>
      </c>
      <c r="M69" s="76" t="s">
        <v>168</v>
      </c>
      <c r="N69" s="76" t="s">
        <v>301</v>
      </c>
      <c r="O69" s="76" t="s">
        <v>408</v>
      </c>
      <c r="P69" s="76" t="s">
        <v>171</v>
      </c>
      <c r="Q69" s="76" t="s">
        <v>171</v>
      </c>
      <c r="R69" s="77" t="s">
        <v>482</v>
      </c>
      <c r="T69" s="99" t="s">
        <v>174</v>
      </c>
      <c r="W69" s="86">
        <v>35.5</v>
      </c>
      <c r="Y69" s="84">
        <f t="shared" si="56"/>
        <v>394.07999999999998</v>
      </c>
      <c r="Z69" s="84">
        <f t="shared" si="57"/>
        <v>342.48000000000002</v>
      </c>
      <c r="AA69" s="84"/>
      <c r="AB69" s="84"/>
      <c r="AC69" s="84">
        <f t="shared" si="58"/>
        <v>363.60000000000002</v>
      </c>
      <c r="AD69" s="84">
        <f t="shared" si="59"/>
        <v>297.12</v>
      </c>
      <c r="AE69" s="84"/>
      <c r="AF69" s="84"/>
      <c r="AG69" s="84">
        <f t="shared" si="60"/>
        <v>774.24000000000001</v>
      </c>
      <c r="AH69" s="84">
        <f t="shared" si="61"/>
        <v>320.88</v>
      </c>
      <c r="AI69" s="84"/>
      <c r="AJ69" s="84"/>
      <c r="AK69" s="84">
        <f t="shared" si="62"/>
        <v>3469.4399999999996</v>
      </c>
      <c r="AL69" s="84">
        <f t="shared" si="63"/>
        <v>320.88</v>
      </c>
      <c r="BM69" s="84">
        <v>164.19999999999999</v>
      </c>
      <c r="BN69" s="84">
        <v>142.69999999999999</v>
      </c>
      <c r="BO69" s="84" t="s">
        <v>175</v>
      </c>
      <c r="BQ69" s="84">
        <v>151.5</v>
      </c>
      <c r="BR69" s="84">
        <v>123.8</v>
      </c>
      <c r="BS69" s="84" t="s">
        <v>175</v>
      </c>
      <c r="BU69" s="84">
        <v>322.60000000000002</v>
      </c>
      <c r="BV69" s="84">
        <v>133.69999999999999</v>
      </c>
      <c r="BW69" s="84" t="s">
        <v>175</v>
      </c>
      <c r="BY69" s="84">
        <v>1445.5999999999999</v>
      </c>
      <c r="BZ69" s="84">
        <v>133.69999999999999</v>
      </c>
      <c r="CA69" s="84" t="s">
        <v>175</v>
      </c>
      <c r="CC69" s="84">
        <v>140</v>
      </c>
      <c r="CD69" s="84">
        <v>140</v>
      </c>
      <c r="CE69" s="84">
        <v>140</v>
      </c>
      <c r="CF69" s="84">
        <v>140</v>
      </c>
      <c r="CG69" s="84">
        <v>140</v>
      </c>
      <c r="CH69" s="84">
        <v>140</v>
      </c>
      <c r="CI69" s="84">
        <v>140</v>
      </c>
      <c r="CJ69" s="84">
        <v>140</v>
      </c>
    </row>
    <row r="70" s="76" customFormat="1" ht="15.75" customHeight="1">
      <c r="A70" s="77" t="s">
        <v>38</v>
      </c>
      <c r="B70" s="76" t="s">
        <v>107</v>
      </c>
      <c r="C70" s="76" t="s">
        <v>494</v>
      </c>
      <c r="D70" s="77" t="s">
        <v>480</v>
      </c>
      <c r="E70" s="179" t="s">
        <v>481</v>
      </c>
      <c r="F70" s="76" t="s">
        <v>440</v>
      </c>
      <c r="H70" s="76" t="s">
        <v>493</v>
      </c>
      <c r="I70" s="76" t="s">
        <v>167</v>
      </c>
      <c r="J70" s="76" t="s">
        <v>300</v>
      </c>
      <c r="K70" s="76" t="s">
        <v>442</v>
      </c>
      <c r="L70" s="76" t="s">
        <v>167</v>
      </c>
      <c r="M70" s="76" t="s">
        <v>168</v>
      </c>
      <c r="N70" s="76" t="s">
        <v>442</v>
      </c>
      <c r="O70" s="76" t="s">
        <v>408</v>
      </c>
      <c r="P70" s="76" t="s">
        <v>171</v>
      </c>
      <c r="Q70" s="76" t="s">
        <v>171</v>
      </c>
      <c r="R70" s="77" t="s">
        <v>482</v>
      </c>
      <c r="T70" s="99" t="s">
        <v>174</v>
      </c>
      <c r="W70" s="86">
        <v>35.5</v>
      </c>
      <c r="Y70" s="84">
        <f t="shared" si="56"/>
        <v>394.07999999999998</v>
      </c>
      <c r="Z70" s="84">
        <f t="shared" si="57"/>
        <v>342.48000000000002</v>
      </c>
      <c r="AA70" s="84"/>
      <c r="AB70" s="84"/>
      <c r="AC70" s="84">
        <f t="shared" si="58"/>
        <v>363.60000000000002</v>
      </c>
      <c r="AD70" s="84">
        <f t="shared" si="59"/>
        <v>297.12</v>
      </c>
      <c r="AE70" s="84"/>
      <c r="AF70" s="84"/>
      <c r="AG70" s="84">
        <f t="shared" si="60"/>
        <v>774.24000000000001</v>
      </c>
      <c r="AH70" s="84">
        <f t="shared" si="61"/>
        <v>320.88</v>
      </c>
      <c r="AI70" s="84"/>
      <c r="AJ70" s="84"/>
      <c r="AK70" s="84">
        <f t="shared" si="62"/>
        <v>3469.4399999999996</v>
      </c>
      <c r="AL70" s="84">
        <f t="shared" si="63"/>
        <v>320.88</v>
      </c>
      <c r="BM70" s="84">
        <v>164.19999999999999</v>
      </c>
      <c r="BN70" s="84">
        <v>142.69999999999999</v>
      </c>
      <c r="BO70" s="84" t="s">
        <v>175</v>
      </c>
      <c r="BQ70" s="84">
        <v>151.5</v>
      </c>
      <c r="BR70" s="84">
        <v>123.8</v>
      </c>
      <c r="BS70" s="84" t="s">
        <v>175</v>
      </c>
      <c r="BU70" s="84">
        <v>322.60000000000002</v>
      </c>
      <c r="BV70" s="84">
        <v>133.69999999999999</v>
      </c>
      <c r="BW70" s="84" t="s">
        <v>175</v>
      </c>
      <c r="BY70" s="84">
        <v>1445.5999999999999</v>
      </c>
      <c r="BZ70" s="84">
        <v>133.69999999999999</v>
      </c>
      <c r="CA70" s="84" t="s">
        <v>175</v>
      </c>
      <c r="CC70" s="84">
        <v>140</v>
      </c>
      <c r="CD70" s="84">
        <v>140</v>
      </c>
      <c r="CE70" s="84">
        <v>140</v>
      </c>
      <c r="CF70" s="84">
        <v>140</v>
      </c>
      <c r="CG70" s="84">
        <v>140</v>
      </c>
      <c r="CH70" s="84">
        <v>140</v>
      </c>
      <c r="CI70" s="84">
        <v>140</v>
      </c>
      <c r="CJ70" s="84">
        <v>140</v>
      </c>
    </row>
    <row r="71" ht="15.75" customHeight="1">
      <c r="A71" s="57" t="s">
        <v>38</v>
      </c>
      <c r="B71" s="51" t="s">
        <v>107</v>
      </c>
      <c r="C71" s="51" t="s">
        <v>495</v>
      </c>
      <c r="D71" s="57" t="s">
        <v>480</v>
      </c>
      <c r="E71" s="179" t="s">
        <v>481</v>
      </c>
      <c r="F71" s="51" t="s">
        <v>440</v>
      </c>
      <c r="H71" s="51" t="s">
        <v>496</v>
      </c>
      <c r="I71" s="51" t="s">
        <v>167</v>
      </c>
      <c r="J71" s="51" t="s">
        <v>300</v>
      </c>
      <c r="K71" s="51" t="s">
        <v>301</v>
      </c>
      <c r="L71" s="51" t="s">
        <v>167</v>
      </c>
      <c r="M71" s="51" t="s">
        <v>168</v>
      </c>
      <c r="N71" s="51" t="s">
        <v>301</v>
      </c>
      <c r="O71" s="51" t="s">
        <v>408</v>
      </c>
      <c r="P71" s="51" t="s">
        <v>171</v>
      </c>
      <c r="Q71" s="51" t="s">
        <v>171</v>
      </c>
      <c r="R71" s="57" t="s">
        <v>482</v>
      </c>
      <c r="T71" s="106" t="s">
        <v>174</v>
      </c>
      <c r="W71" s="64">
        <v>39.5</v>
      </c>
      <c r="Y71" s="62">
        <f t="shared" si="56"/>
        <v>423.36000000000001</v>
      </c>
      <c r="Z71" s="62">
        <f t="shared" si="57"/>
        <v>377.75999999999999</v>
      </c>
      <c r="AA71" s="62"/>
      <c r="AB71" s="62"/>
      <c r="AC71" s="62">
        <f t="shared" si="58"/>
        <v>402.24000000000001</v>
      </c>
      <c r="AD71" s="62">
        <f t="shared" si="59"/>
        <v>327.12</v>
      </c>
      <c r="AE71" s="62"/>
      <c r="AF71" s="62"/>
      <c r="AG71" s="62">
        <f t="shared" si="60"/>
        <v>847.20000000000005</v>
      </c>
      <c r="AH71" s="62">
        <f t="shared" si="61"/>
        <v>353.27999999999997</v>
      </c>
      <c r="AI71" s="62"/>
      <c r="AJ71" s="62"/>
      <c r="AK71" s="62">
        <f t="shared" si="62"/>
        <v>2719.6800000000003</v>
      </c>
      <c r="AL71" s="62">
        <f t="shared" si="63"/>
        <v>371.75999999999999</v>
      </c>
      <c r="BM71" s="62">
        <v>176.40000000000001</v>
      </c>
      <c r="BN71" s="62">
        <v>157.40000000000001</v>
      </c>
      <c r="BO71" s="62" t="s">
        <v>175</v>
      </c>
      <c r="BQ71" s="62">
        <v>167.59999999999999</v>
      </c>
      <c r="BR71" s="62">
        <v>136.30000000000001</v>
      </c>
      <c r="BS71" s="62" t="s">
        <v>175</v>
      </c>
      <c r="BU71" s="62">
        <v>353</v>
      </c>
      <c r="BV71" s="62">
        <v>147.19999999999999</v>
      </c>
      <c r="BW71" s="62" t="s">
        <v>175</v>
      </c>
      <c r="BY71" s="62">
        <v>1133.2</v>
      </c>
      <c r="BZ71" s="62">
        <v>154.90000000000001</v>
      </c>
      <c r="CA71" s="62" t="s">
        <v>175</v>
      </c>
      <c r="CC71" s="62">
        <v>140</v>
      </c>
      <c r="CD71" s="62">
        <v>140</v>
      </c>
      <c r="CE71" s="62">
        <v>140</v>
      </c>
      <c r="CF71" s="62">
        <v>140</v>
      </c>
      <c r="CG71" s="62">
        <v>140</v>
      </c>
      <c r="CH71" s="62">
        <v>140</v>
      </c>
      <c r="CI71" s="62">
        <v>140</v>
      </c>
      <c r="CJ71" s="62">
        <v>140</v>
      </c>
    </row>
    <row r="72" ht="15.75" customHeight="1">
      <c r="A72" s="57" t="s">
        <v>38</v>
      </c>
      <c r="B72" s="51" t="s">
        <v>107</v>
      </c>
      <c r="C72" s="51" t="s">
        <v>497</v>
      </c>
      <c r="D72" s="57" t="s">
        <v>480</v>
      </c>
      <c r="E72" s="179" t="s">
        <v>481</v>
      </c>
      <c r="F72" s="51" t="s">
        <v>440</v>
      </c>
      <c r="H72" s="51" t="s">
        <v>496</v>
      </c>
      <c r="I72" s="51" t="s">
        <v>167</v>
      </c>
      <c r="J72" s="51" t="s">
        <v>300</v>
      </c>
      <c r="K72" s="51" t="s">
        <v>442</v>
      </c>
      <c r="L72" s="51" t="s">
        <v>167</v>
      </c>
      <c r="M72" s="51" t="s">
        <v>168</v>
      </c>
      <c r="N72" s="51" t="s">
        <v>442</v>
      </c>
      <c r="O72" s="51" t="s">
        <v>408</v>
      </c>
      <c r="P72" s="51" t="s">
        <v>171</v>
      </c>
      <c r="Q72" s="51" t="s">
        <v>171</v>
      </c>
      <c r="R72" s="57" t="s">
        <v>482</v>
      </c>
      <c r="T72" s="106" t="s">
        <v>174</v>
      </c>
      <c r="W72" s="64">
        <v>39.5</v>
      </c>
      <c r="Y72" s="62">
        <f t="shared" si="56"/>
        <v>423.36000000000001</v>
      </c>
      <c r="Z72" s="62">
        <f t="shared" si="57"/>
        <v>377.75999999999999</v>
      </c>
      <c r="AA72" s="62"/>
      <c r="AB72" s="62"/>
      <c r="AC72" s="62">
        <f t="shared" si="58"/>
        <v>402.24000000000001</v>
      </c>
      <c r="AD72" s="62">
        <f t="shared" si="59"/>
        <v>327.12</v>
      </c>
      <c r="AE72" s="62"/>
      <c r="AF72" s="62"/>
      <c r="AG72" s="62">
        <f t="shared" si="60"/>
        <v>847.20000000000005</v>
      </c>
      <c r="AH72" s="62">
        <f t="shared" si="61"/>
        <v>353.27999999999997</v>
      </c>
      <c r="AI72" s="62"/>
      <c r="AJ72" s="62"/>
      <c r="AK72" s="62">
        <f t="shared" si="62"/>
        <v>2719.6800000000003</v>
      </c>
      <c r="AL72" s="62">
        <f t="shared" si="63"/>
        <v>371.75999999999999</v>
      </c>
      <c r="BM72" s="62">
        <v>176.40000000000001</v>
      </c>
      <c r="BN72" s="62">
        <v>157.40000000000001</v>
      </c>
      <c r="BO72" s="62" t="s">
        <v>175</v>
      </c>
      <c r="BQ72" s="62">
        <v>167.59999999999999</v>
      </c>
      <c r="BR72" s="62">
        <v>136.30000000000001</v>
      </c>
      <c r="BS72" s="62" t="s">
        <v>175</v>
      </c>
      <c r="BU72" s="62">
        <v>353</v>
      </c>
      <c r="BV72" s="62">
        <v>147.19999999999999</v>
      </c>
      <c r="BW72" s="62" t="s">
        <v>175</v>
      </c>
      <c r="BY72" s="62">
        <v>1133.2</v>
      </c>
      <c r="BZ72" s="62">
        <v>154.90000000000001</v>
      </c>
      <c r="CA72" s="62" t="s">
        <v>175</v>
      </c>
      <c r="CC72" s="62">
        <v>140</v>
      </c>
      <c r="CD72" s="62">
        <v>140</v>
      </c>
      <c r="CE72" s="62">
        <v>140</v>
      </c>
      <c r="CF72" s="62">
        <v>140</v>
      </c>
      <c r="CG72" s="62">
        <v>140</v>
      </c>
      <c r="CH72" s="62">
        <v>140</v>
      </c>
      <c r="CI72" s="62">
        <v>140</v>
      </c>
      <c r="CJ72" s="62">
        <v>140</v>
      </c>
    </row>
    <row r="73" s="76" customFormat="1" ht="15.75" customHeight="1">
      <c r="A73" s="77" t="s">
        <v>39</v>
      </c>
      <c r="B73" s="76" t="s">
        <v>96</v>
      </c>
      <c r="C73" s="76" t="s">
        <v>498</v>
      </c>
      <c r="D73" s="77" t="s">
        <v>499</v>
      </c>
      <c r="E73" s="179" t="s">
        <v>500</v>
      </c>
      <c r="F73" s="76" t="s">
        <v>501</v>
      </c>
      <c r="H73" s="76" t="s">
        <v>315</v>
      </c>
      <c r="I73" s="76" t="s">
        <v>167</v>
      </c>
      <c r="J73" s="76" t="s">
        <v>168</v>
      </c>
      <c r="K73" s="76" t="s">
        <v>301</v>
      </c>
      <c r="O73" s="76" t="s">
        <v>408</v>
      </c>
      <c r="P73" s="76" t="s">
        <v>171</v>
      </c>
      <c r="Q73" s="76" t="s">
        <v>171</v>
      </c>
      <c r="R73" s="77"/>
      <c r="T73" s="99" t="s">
        <v>174</v>
      </c>
      <c r="W73" s="86">
        <v>3.6000000000000001</v>
      </c>
      <c r="Y73" s="84">
        <f t="shared" si="56"/>
        <v>35.759999999999998</v>
      </c>
      <c r="Z73" s="84">
        <f t="shared" si="57"/>
        <v>23.280000000000001</v>
      </c>
      <c r="AA73" s="84"/>
      <c r="AB73" s="84"/>
      <c r="AC73" s="84">
        <f t="shared" si="58"/>
        <v>44.159999999999997</v>
      </c>
      <c r="AD73" s="84">
        <f t="shared" si="59"/>
        <v>20.640000000000001</v>
      </c>
      <c r="AE73" s="84"/>
      <c r="AF73" s="84"/>
      <c r="AG73" s="84">
        <f t="shared" si="60"/>
        <v>79.439999999999998</v>
      </c>
      <c r="AH73" s="84">
        <f t="shared" si="61"/>
        <v>17.759999999999998</v>
      </c>
      <c r="AI73" s="84"/>
      <c r="AJ73" s="84"/>
      <c r="AK73" s="84">
        <f t="shared" si="62"/>
        <v>173.28</v>
      </c>
      <c r="AL73" s="84">
        <f t="shared" si="63"/>
        <v>17.039999999999999</v>
      </c>
      <c r="BM73" s="84">
        <v>14.9</v>
      </c>
      <c r="BN73" s="84">
        <v>9.6999999999999993</v>
      </c>
      <c r="BO73" s="84" t="s">
        <v>175</v>
      </c>
      <c r="BQ73" s="84">
        <v>18.399999999999999</v>
      </c>
      <c r="BR73" s="84">
        <v>8.5999999999999996</v>
      </c>
      <c r="BS73" s="84" t="s">
        <v>175</v>
      </c>
      <c r="BT73" s="84"/>
      <c r="BU73" s="84">
        <v>33.100000000000001</v>
      </c>
      <c r="BV73" s="84">
        <v>7.4000000000000004</v>
      </c>
      <c r="BW73" s="84" t="s">
        <v>175</v>
      </c>
      <c r="BX73" s="84"/>
      <c r="BY73" s="84">
        <v>72.200000000000003</v>
      </c>
      <c r="BZ73" s="84">
        <v>7.0999999999999996</v>
      </c>
      <c r="CA73" s="84" t="s">
        <v>175</v>
      </c>
      <c r="CC73" s="84">
        <v>140</v>
      </c>
      <c r="CD73" s="84">
        <v>140</v>
      </c>
      <c r="CE73" s="84">
        <v>140</v>
      </c>
      <c r="CF73" s="84">
        <v>140</v>
      </c>
      <c r="CG73" s="84">
        <v>140</v>
      </c>
      <c r="CH73" s="84">
        <v>140</v>
      </c>
      <c r="CI73" s="84">
        <v>140</v>
      </c>
      <c r="CJ73" s="84">
        <v>140</v>
      </c>
    </row>
    <row r="74" s="76" customFormat="1" ht="15.75" customHeight="1">
      <c r="A74" s="77" t="s">
        <v>39</v>
      </c>
      <c r="B74" s="76" t="s">
        <v>96</v>
      </c>
      <c r="C74" s="76" t="s">
        <v>502</v>
      </c>
      <c r="D74" s="77" t="s">
        <v>499</v>
      </c>
      <c r="E74" s="179" t="s">
        <v>500</v>
      </c>
      <c r="F74" s="76" t="s">
        <v>501</v>
      </c>
      <c r="H74" s="76" t="s">
        <v>315</v>
      </c>
      <c r="I74" s="76" t="s">
        <v>167</v>
      </c>
      <c r="J74" s="76" t="s">
        <v>168</v>
      </c>
      <c r="K74" s="76" t="s">
        <v>442</v>
      </c>
      <c r="O74" s="76" t="s">
        <v>408</v>
      </c>
      <c r="P74" s="76" t="s">
        <v>171</v>
      </c>
      <c r="Q74" s="76" t="s">
        <v>171</v>
      </c>
      <c r="R74" s="77"/>
      <c r="T74" s="99" t="s">
        <v>174</v>
      </c>
      <c r="W74" s="86">
        <v>3.6000000000000001</v>
      </c>
      <c r="Y74" s="84">
        <f t="shared" si="56"/>
        <v>35.759999999999998</v>
      </c>
      <c r="Z74" s="84">
        <f t="shared" si="57"/>
        <v>23.280000000000001</v>
      </c>
      <c r="AA74" s="84"/>
      <c r="AB74" s="84"/>
      <c r="AC74" s="84">
        <f t="shared" si="58"/>
        <v>44.159999999999997</v>
      </c>
      <c r="AD74" s="84">
        <f t="shared" si="59"/>
        <v>20.640000000000001</v>
      </c>
      <c r="AE74" s="84"/>
      <c r="AF74" s="84"/>
      <c r="AG74" s="84">
        <f t="shared" si="60"/>
        <v>79.439999999999998</v>
      </c>
      <c r="AH74" s="84">
        <f t="shared" si="61"/>
        <v>17.759999999999998</v>
      </c>
      <c r="AI74" s="84"/>
      <c r="AJ74" s="84"/>
      <c r="AK74" s="84">
        <f t="shared" si="62"/>
        <v>173.28</v>
      </c>
      <c r="AL74" s="84">
        <f t="shared" si="63"/>
        <v>17.039999999999999</v>
      </c>
      <c r="BM74" s="84">
        <v>14.9</v>
      </c>
      <c r="BN74" s="84">
        <v>9.6999999999999993</v>
      </c>
      <c r="BO74" s="84" t="s">
        <v>175</v>
      </c>
      <c r="BQ74" s="84">
        <v>18.399999999999999</v>
      </c>
      <c r="BR74" s="84">
        <v>8.5999999999999996</v>
      </c>
      <c r="BS74" s="84" t="s">
        <v>175</v>
      </c>
      <c r="BT74" s="84"/>
      <c r="BU74" s="84">
        <v>33.100000000000001</v>
      </c>
      <c r="BV74" s="84">
        <v>7.4000000000000004</v>
      </c>
      <c r="BW74" s="84" t="s">
        <v>175</v>
      </c>
      <c r="BX74" s="84"/>
      <c r="BY74" s="84">
        <v>72.200000000000003</v>
      </c>
      <c r="BZ74" s="84">
        <v>7.0999999999999996</v>
      </c>
      <c r="CA74" s="84" t="s">
        <v>175</v>
      </c>
      <c r="CC74" s="84">
        <v>140</v>
      </c>
      <c r="CD74" s="84">
        <v>140</v>
      </c>
      <c r="CE74" s="84">
        <v>140</v>
      </c>
      <c r="CF74" s="84">
        <v>140</v>
      </c>
      <c r="CG74" s="84">
        <v>140</v>
      </c>
      <c r="CH74" s="84">
        <v>140</v>
      </c>
      <c r="CI74" s="84">
        <v>140</v>
      </c>
      <c r="CJ74" s="84">
        <v>140</v>
      </c>
    </row>
    <row r="75" s="76" customFormat="1" ht="15.75" customHeight="1">
      <c r="A75" s="77" t="s">
        <v>39</v>
      </c>
      <c r="B75" s="76" t="s">
        <v>96</v>
      </c>
      <c r="C75" s="76" t="s">
        <v>503</v>
      </c>
      <c r="D75" s="77" t="s">
        <v>499</v>
      </c>
      <c r="E75" s="179" t="s">
        <v>500</v>
      </c>
      <c r="F75" s="76" t="s">
        <v>501</v>
      </c>
      <c r="H75" s="76" t="s">
        <v>315</v>
      </c>
      <c r="I75" s="76" t="s">
        <v>167</v>
      </c>
      <c r="J75" s="76" t="s">
        <v>177</v>
      </c>
      <c r="K75" s="76" t="s">
        <v>301</v>
      </c>
      <c r="O75" s="76" t="s">
        <v>408</v>
      </c>
      <c r="P75" s="76" t="s">
        <v>171</v>
      </c>
      <c r="Q75" s="76" t="s">
        <v>171</v>
      </c>
      <c r="R75" s="77"/>
      <c r="T75" s="99" t="s">
        <v>174</v>
      </c>
      <c r="W75" s="86">
        <v>5.2000000000000002</v>
      </c>
      <c r="Y75" s="84">
        <f t="shared" si="56"/>
        <v>38.399999999999999</v>
      </c>
      <c r="Z75" s="84">
        <f t="shared" si="57"/>
        <v>31.439999999999998</v>
      </c>
      <c r="AA75" s="84"/>
      <c r="AB75" s="84"/>
      <c r="AC75" s="84">
        <f t="shared" si="58"/>
        <v>54.480000000000004</v>
      </c>
      <c r="AD75" s="84">
        <f t="shared" si="59"/>
        <v>26.879999999999999</v>
      </c>
      <c r="AE75" s="84"/>
      <c r="AF75" s="84"/>
      <c r="AG75" s="84">
        <f t="shared" si="60"/>
        <v>96.960000000000008</v>
      </c>
      <c r="AH75" s="84">
        <f t="shared" si="61"/>
        <v>23.759999999999998</v>
      </c>
      <c r="AI75" s="84"/>
      <c r="AJ75" s="84"/>
      <c r="AK75" s="84">
        <f t="shared" si="62"/>
        <v>224.63999999999999</v>
      </c>
      <c r="AL75" s="84">
        <f t="shared" si="63"/>
        <v>22.560000000000002</v>
      </c>
      <c r="BM75" s="84">
        <v>16</v>
      </c>
      <c r="BN75" s="84">
        <v>13.1</v>
      </c>
      <c r="BO75" s="84" t="s">
        <v>175</v>
      </c>
      <c r="BQ75" s="84">
        <v>22.699999999999999</v>
      </c>
      <c r="BR75" s="84">
        <v>11.199999999999999</v>
      </c>
      <c r="BS75" s="84" t="s">
        <v>175</v>
      </c>
      <c r="BT75" s="84"/>
      <c r="BU75" s="84">
        <v>40.399999999999999</v>
      </c>
      <c r="BV75" s="84">
        <v>9.9000000000000004</v>
      </c>
      <c r="BW75" s="84" t="s">
        <v>175</v>
      </c>
      <c r="BX75" s="84"/>
      <c r="BY75" s="84">
        <v>93.599999999999994</v>
      </c>
      <c r="BZ75" s="84">
        <v>9.4000000000000004</v>
      </c>
      <c r="CA75" s="84" t="s">
        <v>175</v>
      </c>
      <c r="CC75" s="84">
        <v>140</v>
      </c>
      <c r="CD75" s="84">
        <v>140</v>
      </c>
      <c r="CE75" s="84">
        <v>140</v>
      </c>
      <c r="CF75" s="84">
        <v>140</v>
      </c>
      <c r="CG75" s="84">
        <v>140</v>
      </c>
      <c r="CH75" s="84">
        <v>140</v>
      </c>
      <c r="CI75" s="84">
        <v>140</v>
      </c>
      <c r="CJ75" s="84">
        <v>140</v>
      </c>
    </row>
    <row r="76" s="76" customFormat="1" ht="15.75" customHeight="1">
      <c r="A76" s="77" t="s">
        <v>39</v>
      </c>
      <c r="B76" s="76" t="s">
        <v>96</v>
      </c>
      <c r="C76" s="76" t="s">
        <v>504</v>
      </c>
      <c r="D76" s="77" t="s">
        <v>499</v>
      </c>
      <c r="E76" s="179" t="s">
        <v>500</v>
      </c>
      <c r="F76" s="76" t="s">
        <v>501</v>
      </c>
      <c r="H76" s="76" t="s">
        <v>315</v>
      </c>
      <c r="I76" s="76" t="s">
        <v>167</v>
      </c>
      <c r="J76" s="76" t="s">
        <v>177</v>
      </c>
      <c r="K76" s="76" t="s">
        <v>442</v>
      </c>
      <c r="O76" s="76" t="s">
        <v>408</v>
      </c>
      <c r="P76" s="76" t="s">
        <v>171</v>
      </c>
      <c r="Q76" s="76" t="s">
        <v>171</v>
      </c>
      <c r="R76" s="77"/>
      <c r="T76" s="99" t="s">
        <v>174</v>
      </c>
      <c r="W76" s="86">
        <v>5.2000000000000002</v>
      </c>
      <c r="Y76" s="84">
        <f t="shared" si="56"/>
        <v>38.399999999999999</v>
      </c>
      <c r="Z76" s="84">
        <f t="shared" si="57"/>
        <v>31.439999999999998</v>
      </c>
      <c r="AA76" s="84"/>
      <c r="AB76" s="84"/>
      <c r="AC76" s="84">
        <f t="shared" si="58"/>
        <v>54.480000000000004</v>
      </c>
      <c r="AD76" s="84">
        <f t="shared" si="59"/>
        <v>26.879999999999999</v>
      </c>
      <c r="AE76" s="84"/>
      <c r="AF76" s="84"/>
      <c r="AG76" s="84">
        <f t="shared" si="60"/>
        <v>96.960000000000008</v>
      </c>
      <c r="AH76" s="84">
        <f t="shared" si="61"/>
        <v>23.759999999999998</v>
      </c>
      <c r="AI76" s="84"/>
      <c r="AJ76" s="84"/>
      <c r="AK76" s="84">
        <f t="shared" si="62"/>
        <v>224.63999999999999</v>
      </c>
      <c r="AL76" s="84">
        <f t="shared" si="63"/>
        <v>22.560000000000002</v>
      </c>
      <c r="BM76" s="84">
        <v>16</v>
      </c>
      <c r="BN76" s="84">
        <v>13.1</v>
      </c>
      <c r="BO76" s="84" t="s">
        <v>175</v>
      </c>
      <c r="BQ76" s="84">
        <v>22.699999999999999</v>
      </c>
      <c r="BR76" s="84">
        <v>11.199999999999999</v>
      </c>
      <c r="BS76" s="84" t="s">
        <v>175</v>
      </c>
      <c r="BT76" s="84"/>
      <c r="BU76" s="84">
        <v>40.399999999999999</v>
      </c>
      <c r="BV76" s="84">
        <v>9.9000000000000004</v>
      </c>
      <c r="BW76" s="84" t="s">
        <v>175</v>
      </c>
      <c r="BX76" s="84"/>
      <c r="BY76" s="84">
        <v>93.599999999999994</v>
      </c>
      <c r="BZ76" s="84">
        <v>9.4000000000000004</v>
      </c>
      <c r="CA76" s="84" t="s">
        <v>175</v>
      </c>
      <c r="CC76" s="84">
        <v>140</v>
      </c>
      <c r="CD76" s="84">
        <v>140</v>
      </c>
      <c r="CE76" s="84">
        <v>140</v>
      </c>
      <c r="CF76" s="84">
        <v>140</v>
      </c>
      <c r="CG76" s="84">
        <v>140</v>
      </c>
      <c r="CH76" s="84">
        <v>140</v>
      </c>
      <c r="CI76" s="84">
        <v>140</v>
      </c>
      <c r="CJ76" s="84">
        <v>140</v>
      </c>
    </row>
    <row r="77" ht="15.75" customHeight="1">
      <c r="A77" s="57" t="s">
        <v>39</v>
      </c>
      <c r="B77" s="51" t="s">
        <v>96</v>
      </c>
      <c r="C77" s="51" t="s">
        <v>505</v>
      </c>
      <c r="D77" s="57" t="s">
        <v>499</v>
      </c>
      <c r="E77" s="179" t="s">
        <v>500</v>
      </c>
      <c r="F77" s="51" t="s">
        <v>164</v>
      </c>
      <c r="H77" s="51" t="s">
        <v>315</v>
      </c>
      <c r="I77" s="51" t="s">
        <v>167</v>
      </c>
      <c r="J77" s="51" t="s">
        <v>168</v>
      </c>
      <c r="K77" s="51" t="s">
        <v>301</v>
      </c>
      <c r="O77" s="51" t="s">
        <v>408</v>
      </c>
      <c r="P77" s="51" t="s">
        <v>171</v>
      </c>
      <c r="Q77" s="51" t="s">
        <v>171</v>
      </c>
      <c r="T77" s="106" t="s">
        <v>174</v>
      </c>
      <c r="W77" s="64">
        <v>3.7999999999999998</v>
      </c>
      <c r="Y77" s="62">
        <f t="shared" si="56"/>
        <v>37.920000000000002</v>
      </c>
      <c r="Z77" s="62">
        <f t="shared" si="57"/>
        <v>23.280000000000001</v>
      </c>
      <c r="AA77" s="62"/>
      <c r="AB77" s="62"/>
      <c r="AC77" s="62">
        <f t="shared" si="58"/>
        <v>47.759999999999998</v>
      </c>
      <c r="AD77" s="62">
        <f t="shared" si="59"/>
        <v>21.600000000000001</v>
      </c>
      <c r="AE77" s="62"/>
      <c r="AF77" s="62"/>
      <c r="AG77" s="62">
        <f t="shared" si="60"/>
        <v>81.120000000000005</v>
      </c>
      <c r="AH77" s="62">
        <f t="shared" si="61"/>
        <v>18.719999999999999</v>
      </c>
      <c r="AI77" s="62"/>
      <c r="AJ77" s="62"/>
      <c r="AK77" s="62">
        <f t="shared" si="62"/>
        <v>189.36000000000001</v>
      </c>
      <c r="AL77" s="62">
        <f t="shared" si="63"/>
        <v>18</v>
      </c>
      <c r="BM77" s="62">
        <v>15.800000000000001</v>
      </c>
      <c r="BN77" s="62">
        <v>9.6999999999999993</v>
      </c>
      <c r="BO77" s="62" t="s">
        <v>175</v>
      </c>
      <c r="BQ77" s="62">
        <v>19.899999999999999</v>
      </c>
      <c r="BR77" s="62">
        <v>9</v>
      </c>
      <c r="BS77" s="62" t="s">
        <v>175</v>
      </c>
      <c r="BT77" s="62"/>
      <c r="BU77" s="62">
        <v>33.799999999999997</v>
      </c>
      <c r="BV77" s="62">
        <v>7.7999999999999998</v>
      </c>
      <c r="BW77" s="62" t="s">
        <v>175</v>
      </c>
      <c r="BX77" s="62"/>
      <c r="BY77" s="62">
        <v>78.900000000000006</v>
      </c>
      <c r="BZ77" s="62">
        <v>7.5</v>
      </c>
      <c r="CA77" s="62" t="s">
        <v>175</v>
      </c>
      <c r="CC77" s="62">
        <v>140</v>
      </c>
      <c r="CD77" s="62">
        <v>140</v>
      </c>
      <c r="CE77" s="62">
        <v>140</v>
      </c>
      <c r="CF77" s="62">
        <v>140</v>
      </c>
      <c r="CG77" s="62">
        <v>140</v>
      </c>
      <c r="CH77" s="62">
        <v>140</v>
      </c>
      <c r="CI77" s="62">
        <v>140</v>
      </c>
      <c r="CJ77" s="62">
        <v>140</v>
      </c>
    </row>
    <row r="78" ht="15.75" customHeight="1">
      <c r="A78" s="57" t="s">
        <v>39</v>
      </c>
      <c r="B78" s="51" t="s">
        <v>96</v>
      </c>
      <c r="C78" s="51" t="s">
        <v>506</v>
      </c>
      <c r="D78" s="57" t="s">
        <v>499</v>
      </c>
      <c r="E78" s="179" t="s">
        <v>500</v>
      </c>
      <c r="F78" s="51" t="s">
        <v>164</v>
      </c>
      <c r="H78" s="51" t="s">
        <v>315</v>
      </c>
      <c r="I78" s="51" t="s">
        <v>167</v>
      </c>
      <c r="J78" s="51" t="s">
        <v>168</v>
      </c>
      <c r="K78" s="51" t="s">
        <v>442</v>
      </c>
      <c r="O78" s="51" t="s">
        <v>408</v>
      </c>
      <c r="P78" s="51" t="s">
        <v>171</v>
      </c>
      <c r="Q78" s="51" t="s">
        <v>171</v>
      </c>
      <c r="T78" s="106" t="s">
        <v>174</v>
      </c>
      <c r="W78" s="64">
        <v>3.7999999999999998</v>
      </c>
      <c r="Y78" s="62">
        <f t="shared" si="56"/>
        <v>37.920000000000002</v>
      </c>
      <c r="Z78" s="62">
        <f t="shared" si="57"/>
        <v>23.280000000000001</v>
      </c>
      <c r="AA78" s="62"/>
      <c r="AB78" s="62"/>
      <c r="AC78" s="62">
        <f t="shared" si="58"/>
        <v>47.759999999999998</v>
      </c>
      <c r="AD78" s="62">
        <f t="shared" si="59"/>
        <v>21.600000000000001</v>
      </c>
      <c r="AE78" s="62"/>
      <c r="AF78" s="62"/>
      <c r="AG78" s="62">
        <f t="shared" si="60"/>
        <v>81.120000000000005</v>
      </c>
      <c r="AH78" s="62">
        <f t="shared" si="61"/>
        <v>18.719999999999999</v>
      </c>
      <c r="AI78" s="62"/>
      <c r="AJ78" s="62"/>
      <c r="AK78" s="62">
        <f t="shared" si="62"/>
        <v>189.36000000000001</v>
      </c>
      <c r="AL78" s="62">
        <f t="shared" si="63"/>
        <v>18</v>
      </c>
      <c r="BM78" s="62">
        <v>15.800000000000001</v>
      </c>
      <c r="BN78" s="62">
        <v>9.6999999999999993</v>
      </c>
      <c r="BO78" s="62" t="s">
        <v>175</v>
      </c>
      <c r="BQ78" s="62">
        <v>19.899999999999999</v>
      </c>
      <c r="BR78" s="62">
        <v>9</v>
      </c>
      <c r="BS78" s="62" t="s">
        <v>175</v>
      </c>
      <c r="BT78" s="62"/>
      <c r="BU78" s="62">
        <v>33.799999999999997</v>
      </c>
      <c r="BV78" s="62">
        <v>7.7999999999999998</v>
      </c>
      <c r="BW78" s="62" t="s">
        <v>175</v>
      </c>
      <c r="BX78" s="62"/>
      <c r="BY78" s="62">
        <v>78.900000000000006</v>
      </c>
      <c r="BZ78" s="62">
        <v>7.5</v>
      </c>
      <c r="CA78" s="62" t="s">
        <v>175</v>
      </c>
      <c r="CC78" s="62">
        <v>140</v>
      </c>
      <c r="CD78" s="62">
        <v>140</v>
      </c>
      <c r="CE78" s="62">
        <v>140</v>
      </c>
      <c r="CF78" s="62">
        <v>140</v>
      </c>
      <c r="CG78" s="62">
        <v>140</v>
      </c>
      <c r="CH78" s="62">
        <v>140</v>
      </c>
      <c r="CI78" s="62">
        <v>140</v>
      </c>
      <c r="CJ78" s="62">
        <v>140</v>
      </c>
    </row>
    <row r="79" ht="15.75" customHeight="1">
      <c r="A79" s="57" t="s">
        <v>39</v>
      </c>
      <c r="B79" s="51" t="s">
        <v>96</v>
      </c>
      <c r="C79" s="51" t="s">
        <v>507</v>
      </c>
      <c r="D79" s="57" t="s">
        <v>499</v>
      </c>
      <c r="E79" s="179" t="s">
        <v>500</v>
      </c>
      <c r="F79" s="51" t="s">
        <v>164</v>
      </c>
      <c r="H79" s="51" t="s">
        <v>315</v>
      </c>
      <c r="I79" s="51" t="s">
        <v>167</v>
      </c>
      <c r="J79" s="51" t="s">
        <v>177</v>
      </c>
      <c r="K79" s="51" t="s">
        <v>301</v>
      </c>
      <c r="O79" s="51" t="s">
        <v>408</v>
      </c>
      <c r="P79" s="51" t="s">
        <v>171</v>
      </c>
      <c r="Q79" s="51" t="s">
        <v>171</v>
      </c>
      <c r="T79" s="106" t="s">
        <v>174</v>
      </c>
      <c r="W79" s="64">
        <v>5.5999999999999996</v>
      </c>
      <c r="Y79" s="62">
        <f t="shared" si="56"/>
        <v>40.32</v>
      </c>
      <c r="Z79" s="62">
        <f t="shared" si="57"/>
        <v>33.359999999999999</v>
      </c>
      <c r="AA79" s="62"/>
      <c r="AB79" s="62"/>
      <c r="AC79" s="62">
        <f t="shared" si="58"/>
        <v>57.120000000000005</v>
      </c>
      <c r="AD79" s="62">
        <f t="shared" si="59"/>
        <v>27.839999999999996</v>
      </c>
      <c r="AE79" s="62"/>
      <c r="AF79" s="62"/>
      <c r="AG79" s="62">
        <f t="shared" si="60"/>
        <v>102</v>
      </c>
      <c r="AH79" s="62">
        <f t="shared" si="61"/>
        <v>25.199999999999999</v>
      </c>
      <c r="AI79" s="62"/>
      <c r="AJ79" s="62"/>
      <c r="AK79" s="62">
        <f t="shared" si="62"/>
        <v>241.68000000000001</v>
      </c>
      <c r="AL79" s="62">
        <f t="shared" si="63"/>
        <v>24</v>
      </c>
      <c r="BM79" s="62">
        <v>16.800000000000001</v>
      </c>
      <c r="BN79" s="62">
        <v>13.9</v>
      </c>
      <c r="BO79" s="62" t="s">
        <v>175</v>
      </c>
      <c r="BQ79" s="62">
        <v>23.800000000000001</v>
      </c>
      <c r="BR79" s="62">
        <v>11.6</v>
      </c>
      <c r="BS79" s="62" t="s">
        <v>175</v>
      </c>
      <c r="BT79" s="62"/>
      <c r="BU79" s="62">
        <v>42.5</v>
      </c>
      <c r="BV79" s="62">
        <v>10.5</v>
      </c>
      <c r="BW79" s="62" t="s">
        <v>175</v>
      </c>
      <c r="BX79" s="62"/>
      <c r="BY79" s="62">
        <v>100.7</v>
      </c>
      <c r="BZ79" s="62">
        <v>10</v>
      </c>
      <c r="CA79" s="62" t="s">
        <v>175</v>
      </c>
      <c r="CC79" s="62">
        <v>140</v>
      </c>
      <c r="CD79" s="62">
        <v>140</v>
      </c>
      <c r="CE79" s="62">
        <v>140</v>
      </c>
      <c r="CF79" s="62">
        <v>140</v>
      </c>
      <c r="CG79" s="62">
        <v>140</v>
      </c>
      <c r="CH79" s="62">
        <v>140</v>
      </c>
      <c r="CI79" s="62">
        <v>140</v>
      </c>
      <c r="CJ79" s="62">
        <v>140</v>
      </c>
    </row>
    <row r="80" ht="15.75" customHeight="1">
      <c r="A80" s="57" t="s">
        <v>39</v>
      </c>
      <c r="B80" s="51" t="s">
        <v>96</v>
      </c>
      <c r="C80" s="51" t="s">
        <v>508</v>
      </c>
      <c r="D80" s="57" t="s">
        <v>499</v>
      </c>
      <c r="E80" s="179" t="s">
        <v>500</v>
      </c>
      <c r="F80" s="51" t="s">
        <v>164</v>
      </c>
      <c r="H80" s="51" t="s">
        <v>315</v>
      </c>
      <c r="I80" s="51" t="s">
        <v>167</v>
      </c>
      <c r="J80" s="51" t="s">
        <v>177</v>
      </c>
      <c r="K80" s="51" t="s">
        <v>442</v>
      </c>
      <c r="O80" s="51" t="s">
        <v>408</v>
      </c>
      <c r="P80" s="51" t="s">
        <v>171</v>
      </c>
      <c r="Q80" s="51" t="s">
        <v>171</v>
      </c>
      <c r="T80" s="106" t="s">
        <v>174</v>
      </c>
      <c r="W80" s="64">
        <v>5.5999999999999996</v>
      </c>
      <c r="Y80" s="62">
        <f t="shared" si="56"/>
        <v>40.32</v>
      </c>
      <c r="Z80" s="62">
        <f t="shared" si="57"/>
        <v>33.359999999999999</v>
      </c>
      <c r="AA80" s="62"/>
      <c r="AB80" s="62"/>
      <c r="AC80" s="62">
        <f t="shared" si="58"/>
        <v>57.120000000000005</v>
      </c>
      <c r="AD80" s="62">
        <f t="shared" si="59"/>
        <v>27.839999999999996</v>
      </c>
      <c r="AE80" s="62"/>
      <c r="AF80" s="62"/>
      <c r="AG80" s="62">
        <f t="shared" si="60"/>
        <v>102</v>
      </c>
      <c r="AH80" s="62">
        <f t="shared" si="61"/>
        <v>25.199999999999999</v>
      </c>
      <c r="AI80" s="62"/>
      <c r="AJ80" s="62"/>
      <c r="AK80" s="62">
        <f t="shared" si="62"/>
        <v>241.68000000000001</v>
      </c>
      <c r="AL80" s="62">
        <f t="shared" si="63"/>
        <v>24</v>
      </c>
      <c r="BM80" s="62">
        <v>16.800000000000001</v>
      </c>
      <c r="BN80" s="62">
        <v>13.9</v>
      </c>
      <c r="BO80" s="62" t="s">
        <v>175</v>
      </c>
      <c r="BQ80" s="62">
        <v>23.800000000000001</v>
      </c>
      <c r="BR80" s="62">
        <v>11.6</v>
      </c>
      <c r="BS80" s="62" t="s">
        <v>175</v>
      </c>
      <c r="BT80" s="62"/>
      <c r="BU80" s="62">
        <v>42.5</v>
      </c>
      <c r="BV80" s="62">
        <v>10.5</v>
      </c>
      <c r="BW80" s="62" t="s">
        <v>175</v>
      </c>
      <c r="BX80" s="62"/>
      <c r="BY80" s="62">
        <v>100.7</v>
      </c>
      <c r="BZ80" s="62">
        <v>10</v>
      </c>
      <c r="CA80" s="62" t="s">
        <v>175</v>
      </c>
      <c r="CC80" s="62">
        <v>140</v>
      </c>
      <c r="CD80" s="62">
        <v>140</v>
      </c>
      <c r="CE80" s="62">
        <v>140</v>
      </c>
      <c r="CF80" s="62">
        <v>140</v>
      </c>
      <c r="CG80" s="62">
        <v>140</v>
      </c>
      <c r="CH80" s="62">
        <v>140</v>
      </c>
      <c r="CI80" s="62">
        <v>140</v>
      </c>
      <c r="CJ80" s="62">
        <v>140</v>
      </c>
    </row>
    <row r="81" s="76" customFormat="1" ht="15.75" customHeight="1">
      <c r="A81" s="176" t="s">
        <v>84</v>
      </c>
      <c r="B81" s="76" t="s">
        <v>143</v>
      </c>
      <c r="C81" s="76" t="s">
        <v>509</v>
      </c>
      <c r="D81" s="176" t="s">
        <v>510</v>
      </c>
      <c r="E81" s="177" t="s">
        <v>510</v>
      </c>
      <c r="F81" s="76" t="s">
        <v>146</v>
      </c>
      <c r="I81" s="76" t="s">
        <v>395</v>
      </c>
      <c r="J81" s="76" t="s">
        <v>412</v>
      </c>
      <c r="O81" s="76" t="s">
        <v>397</v>
      </c>
      <c r="R81" s="77"/>
      <c r="T81" s="99"/>
      <c r="W81" s="178">
        <v>18.5</v>
      </c>
      <c r="Y81" s="84">
        <f t="shared" si="56"/>
        <v>0</v>
      </c>
      <c r="Z81" s="84">
        <f t="shared" si="57"/>
        <v>122.40000000000001</v>
      </c>
      <c r="AA81" s="84"/>
      <c r="AB81" s="84"/>
      <c r="AC81" s="84">
        <f t="shared" si="58"/>
        <v>0</v>
      </c>
      <c r="AD81" s="84">
        <f t="shared" si="59"/>
        <v>122.40000000000001</v>
      </c>
      <c r="AE81" s="84"/>
      <c r="AF81" s="84"/>
      <c r="AG81" s="84">
        <f t="shared" si="60"/>
        <v>0</v>
      </c>
      <c r="AH81" s="84">
        <f t="shared" si="61"/>
        <v>122.40000000000001</v>
      </c>
      <c r="AI81" s="84"/>
      <c r="AJ81" s="84"/>
      <c r="AK81" s="84">
        <f t="shared" si="62"/>
        <v>0</v>
      </c>
      <c r="AL81" s="84">
        <f t="shared" si="63"/>
        <v>122.40000000000001</v>
      </c>
      <c r="AO81" s="84"/>
      <c r="AP81" s="84"/>
      <c r="AS81" s="84"/>
      <c r="AT81" s="84"/>
      <c r="AW81" s="84"/>
      <c r="AX81" s="84"/>
      <c r="BA81" s="84"/>
      <c r="BB81" s="84"/>
      <c r="BE81" s="84"/>
      <c r="BF81" s="84"/>
      <c r="BG81" s="84"/>
      <c r="BH81" s="84"/>
      <c r="BI81" s="84"/>
      <c r="BJ81" s="84"/>
      <c r="BK81" s="84"/>
      <c r="BL81" s="84"/>
      <c r="BM81" s="84"/>
      <c r="BN81" s="84">
        <v>51</v>
      </c>
      <c r="BO81" s="84" t="s">
        <v>398</v>
      </c>
      <c r="BP81" s="84"/>
      <c r="BQ81" s="84"/>
      <c r="BR81" s="84">
        <v>51</v>
      </c>
      <c r="BS81" s="84" t="s">
        <v>398</v>
      </c>
      <c r="BT81" s="84"/>
      <c r="BU81" s="84"/>
      <c r="BV81" s="84">
        <v>51</v>
      </c>
      <c r="BW81" s="84" t="s">
        <v>398</v>
      </c>
      <c r="BX81" s="84"/>
      <c r="BY81" s="84"/>
      <c r="BZ81" s="84">
        <v>51</v>
      </c>
      <c r="CA81" s="84" t="s">
        <v>398</v>
      </c>
      <c r="CB81" s="84"/>
      <c r="CC81" s="84">
        <v>140</v>
      </c>
      <c r="CD81" s="84">
        <v>140</v>
      </c>
      <c r="CE81" s="84">
        <v>140</v>
      </c>
      <c r="CF81" s="84">
        <v>140</v>
      </c>
      <c r="CG81" s="84">
        <v>140</v>
      </c>
      <c r="CH81" s="84">
        <v>140</v>
      </c>
      <c r="CI81" s="84">
        <v>140</v>
      </c>
      <c r="CJ81" s="84">
        <v>140</v>
      </c>
    </row>
    <row r="82" s="76" customFormat="1">
      <c r="A82" s="176" t="s">
        <v>84</v>
      </c>
      <c r="B82" s="76" t="s">
        <v>143</v>
      </c>
      <c r="C82" s="76" t="s">
        <v>511</v>
      </c>
      <c r="D82" s="176" t="s">
        <v>510</v>
      </c>
      <c r="E82" s="177" t="s">
        <v>510</v>
      </c>
      <c r="F82" s="76" t="s">
        <v>146</v>
      </c>
      <c r="I82" s="76" t="s">
        <v>395</v>
      </c>
      <c r="J82" s="76" t="s">
        <v>412</v>
      </c>
      <c r="O82" s="76" t="s">
        <v>400</v>
      </c>
      <c r="P82" s="76" t="s">
        <v>401</v>
      </c>
      <c r="Q82" s="76" t="s">
        <v>397</v>
      </c>
      <c r="R82" s="77"/>
      <c r="T82" s="99" t="s">
        <v>174</v>
      </c>
      <c r="W82" s="178">
        <v>18.5</v>
      </c>
      <c r="Y82" s="84">
        <f t="shared" si="56"/>
        <v>36</v>
      </c>
      <c r="Z82" s="84">
        <f t="shared" si="57"/>
        <v>228</v>
      </c>
      <c r="AA82" s="84"/>
      <c r="AB82" s="84"/>
      <c r="AC82" s="84">
        <f t="shared" si="58"/>
        <v>36</v>
      </c>
      <c r="AD82" s="84">
        <f t="shared" si="59"/>
        <v>228</v>
      </c>
      <c r="AE82" s="84"/>
      <c r="AF82" s="84"/>
      <c r="AG82" s="84">
        <f t="shared" si="60"/>
        <v>36</v>
      </c>
      <c r="AH82" s="84">
        <f t="shared" si="61"/>
        <v>225.59999999999999</v>
      </c>
      <c r="AI82" s="84"/>
      <c r="AJ82" s="84"/>
      <c r="AK82" s="84">
        <f t="shared" si="62"/>
        <v>36</v>
      </c>
      <c r="AL82" s="84">
        <f t="shared" si="63"/>
        <v>223.19999999999999</v>
      </c>
      <c r="BM82" s="84">
        <v>15</v>
      </c>
      <c r="BN82" s="84">
        <v>95</v>
      </c>
      <c r="BO82" s="84" t="s">
        <v>512</v>
      </c>
      <c r="BQ82" s="84">
        <v>15</v>
      </c>
      <c r="BR82" s="84">
        <v>95</v>
      </c>
      <c r="BS82" s="84" t="s">
        <v>512</v>
      </c>
      <c r="BT82" s="84"/>
      <c r="BU82" s="84">
        <v>15</v>
      </c>
      <c r="BV82" s="84">
        <v>94</v>
      </c>
      <c r="BW82" s="84" t="s">
        <v>512</v>
      </c>
      <c r="BX82" s="84"/>
      <c r="BY82" s="84">
        <v>15</v>
      </c>
      <c r="BZ82" s="84">
        <v>93</v>
      </c>
      <c r="CA82" s="84" t="s">
        <v>512</v>
      </c>
      <c r="CB82" s="84"/>
      <c r="CC82" s="84">
        <v>140</v>
      </c>
      <c r="CD82" s="84">
        <v>140</v>
      </c>
      <c r="CE82" s="84">
        <v>140</v>
      </c>
      <c r="CF82" s="84">
        <v>140</v>
      </c>
      <c r="CG82" s="84">
        <v>140</v>
      </c>
      <c r="CH82" s="84">
        <v>140</v>
      </c>
      <c r="CI82" s="84">
        <v>140</v>
      </c>
      <c r="CJ82" s="84">
        <v>140</v>
      </c>
    </row>
    <row r="83" s="76" customFormat="1">
      <c r="A83" s="176" t="s">
        <v>84</v>
      </c>
      <c r="B83" s="76" t="s">
        <v>143</v>
      </c>
      <c r="C83" s="76" t="s">
        <v>513</v>
      </c>
      <c r="D83" s="176" t="s">
        <v>510</v>
      </c>
      <c r="E83" s="177" t="s">
        <v>510</v>
      </c>
      <c r="F83" s="76" t="s">
        <v>146</v>
      </c>
      <c r="I83" s="76" t="s">
        <v>395</v>
      </c>
      <c r="J83" s="76" t="s">
        <v>412</v>
      </c>
      <c r="O83" s="76" t="s">
        <v>404</v>
      </c>
      <c r="P83" s="76" t="s">
        <v>401</v>
      </c>
      <c r="Q83" s="76" t="s">
        <v>401</v>
      </c>
      <c r="R83" s="77"/>
      <c r="T83" s="99" t="s">
        <v>174</v>
      </c>
      <c r="W83" s="178">
        <v>18.5</v>
      </c>
      <c r="Y83" s="84">
        <f t="shared" si="56"/>
        <v>79.200000000000003</v>
      </c>
      <c r="Z83" s="84">
        <f t="shared" si="57"/>
        <v>232.80000000000001</v>
      </c>
      <c r="AA83" s="84"/>
      <c r="AB83" s="84"/>
      <c r="AC83" s="84">
        <f t="shared" si="58"/>
        <v>79.200000000000003</v>
      </c>
      <c r="AD83" s="84">
        <f t="shared" si="59"/>
        <v>230.40000000000001</v>
      </c>
      <c r="AE83" s="84"/>
      <c r="AF83" s="84"/>
      <c r="AG83" s="84">
        <f t="shared" si="60"/>
        <v>79.200000000000003</v>
      </c>
      <c r="AH83" s="84">
        <f t="shared" si="61"/>
        <v>225.59999999999999</v>
      </c>
      <c r="AI83" s="84"/>
      <c r="AJ83" s="84"/>
      <c r="AK83" s="84">
        <f t="shared" si="62"/>
        <v>79.200000000000003</v>
      </c>
      <c r="AL83" s="84">
        <f t="shared" si="63"/>
        <v>223.19999999999999</v>
      </c>
      <c r="BM83" s="84">
        <v>33</v>
      </c>
      <c r="BN83" s="84">
        <v>97</v>
      </c>
      <c r="BO83" s="84" t="s">
        <v>512</v>
      </c>
      <c r="BQ83" s="84">
        <v>33</v>
      </c>
      <c r="BR83" s="84">
        <v>96</v>
      </c>
      <c r="BS83" s="84" t="s">
        <v>512</v>
      </c>
      <c r="BT83" s="84"/>
      <c r="BU83" s="84">
        <v>33</v>
      </c>
      <c r="BV83" s="84">
        <v>94</v>
      </c>
      <c r="BW83" s="84" t="s">
        <v>512</v>
      </c>
      <c r="BX83" s="84"/>
      <c r="BY83" s="84">
        <v>33</v>
      </c>
      <c r="BZ83" s="84">
        <v>93</v>
      </c>
      <c r="CA83" s="84" t="s">
        <v>512</v>
      </c>
      <c r="CB83" s="84"/>
      <c r="CC83" s="84">
        <v>140</v>
      </c>
      <c r="CD83" s="84">
        <v>140</v>
      </c>
      <c r="CE83" s="84">
        <v>140</v>
      </c>
      <c r="CF83" s="84">
        <v>140</v>
      </c>
      <c r="CG83" s="84">
        <v>140</v>
      </c>
      <c r="CH83" s="84">
        <v>140</v>
      </c>
      <c r="CI83" s="84">
        <v>140</v>
      </c>
      <c r="CJ83" s="84">
        <v>140</v>
      </c>
    </row>
    <row r="84" s="76" customFormat="1">
      <c r="A84" s="176" t="s">
        <v>84</v>
      </c>
      <c r="B84" s="76" t="s">
        <v>143</v>
      </c>
      <c r="C84" s="76" t="s">
        <v>514</v>
      </c>
      <c r="D84" s="176" t="s">
        <v>510</v>
      </c>
      <c r="E84" s="177" t="s">
        <v>510</v>
      </c>
      <c r="F84" s="76" t="s">
        <v>146</v>
      </c>
      <c r="I84" s="76" t="s">
        <v>395</v>
      </c>
      <c r="J84" s="76" t="s">
        <v>412</v>
      </c>
      <c r="O84" s="76" t="s">
        <v>406</v>
      </c>
      <c r="P84" s="76" t="s">
        <v>171</v>
      </c>
      <c r="Q84" s="76" t="s">
        <v>397</v>
      </c>
      <c r="R84" s="77"/>
      <c r="T84" s="99" t="s">
        <v>174</v>
      </c>
      <c r="W84" s="178">
        <v>18.5</v>
      </c>
      <c r="Y84" s="84">
        <f t="shared" si="56"/>
        <v>96</v>
      </c>
      <c r="Z84" s="84">
        <f t="shared" si="57"/>
        <v>196.80000000000001</v>
      </c>
      <c r="AA84" s="84"/>
      <c r="AB84" s="84"/>
      <c r="AC84" s="84">
        <f t="shared" si="58"/>
        <v>96</v>
      </c>
      <c r="AD84" s="84">
        <f t="shared" si="59"/>
        <v>192</v>
      </c>
      <c r="AE84" s="84"/>
      <c r="AF84" s="84"/>
      <c r="AG84" s="84">
        <f t="shared" si="60"/>
        <v>96</v>
      </c>
      <c r="AH84" s="84">
        <f t="shared" si="61"/>
        <v>189.59999999999999</v>
      </c>
      <c r="AI84" s="84"/>
      <c r="AJ84" s="84"/>
      <c r="AK84" s="84">
        <f t="shared" si="62"/>
        <v>96</v>
      </c>
      <c r="AL84" s="84">
        <f t="shared" si="63"/>
        <v>189.59999999999999</v>
      </c>
      <c r="BM84" s="84">
        <v>40</v>
      </c>
      <c r="BN84" s="84">
        <v>82</v>
      </c>
      <c r="BO84" s="84" t="s">
        <v>512</v>
      </c>
      <c r="BQ84" s="84">
        <v>40</v>
      </c>
      <c r="BR84" s="84">
        <v>80</v>
      </c>
      <c r="BS84" s="84" t="s">
        <v>512</v>
      </c>
      <c r="BT84" s="84"/>
      <c r="BU84" s="84">
        <v>40</v>
      </c>
      <c r="BV84" s="84">
        <v>79</v>
      </c>
      <c r="BW84" s="84" t="s">
        <v>512</v>
      </c>
      <c r="BX84" s="84"/>
      <c r="BY84" s="84">
        <v>40</v>
      </c>
      <c r="BZ84" s="84">
        <v>79</v>
      </c>
      <c r="CA84" s="84" t="s">
        <v>512</v>
      </c>
      <c r="CB84" s="84"/>
      <c r="CC84" s="84">
        <v>140</v>
      </c>
      <c r="CD84" s="84">
        <v>140</v>
      </c>
      <c r="CE84" s="84">
        <v>140</v>
      </c>
      <c r="CF84" s="84">
        <v>140</v>
      </c>
      <c r="CG84" s="84">
        <v>140</v>
      </c>
      <c r="CH84" s="84">
        <v>140</v>
      </c>
      <c r="CI84" s="84">
        <v>140</v>
      </c>
      <c r="CJ84" s="84">
        <v>140</v>
      </c>
    </row>
    <row r="85" s="76" customFormat="1">
      <c r="A85" s="176" t="s">
        <v>84</v>
      </c>
      <c r="B85" s="76" t="s">
        <v>143</v>
      </c>
      <c r="C85" s="76" t="s">
        <v>515</v>
      </c>
      <c r="D85" s="176" t="s">
        <v>510</v>
      </c>
      <c r="E85" s="177" t="s">
        <v>510</v>
      </c>
      <c r="F85" s="76" t="s">
        <v>146</v>
      </c>
      <c r="I85" s="76" t="s">
        <v>395</v>
      </c>
      <c r="J85" s="76" t="s">
        <v>412</v>
      </c>
      <c r="O85" s="76" t="s">
        <v>408</v>
      </c>
      <c r="P85" s="76" t="s">
        <v>171</v>
      </c>
      <c r="Q85" s="76" t="s">
        <v>171</v>
      </c>
      <c r="R85" s="77"/>
      <c r="T85" s="99" t="s">
        <v>174</v>
      </c>
      <c r="W85" s="178">
        <v>18.5</v>
      </c>
      <c r="Y85" s="84">
        <f t="shared" si="56"/>
        <v>144</v>
      </c>
      <c r="Z85" s="84">
        <f t="shared" si="57"/>
        <v>273.60000000000002</v>
      </c>
      <c r="AA85" s="84"/>
      <c r="AB85" s="84"/>
      <c r="AC85" s="84">
        <f t="shared" si="58"/>
        <v>144</v>
      </c>
      <c r="AD85" s="84">
        <f t="shared" si="59"/>
        <v>240</v>
      </c>
      <c r="AE85" s="84"/>
      <c r="AF85" s="84"/>
      <c r="AG85" s="84">
        <f t="shared" si="60"/>
        <v>144</v>
      </c>
      <c r="AH85" s="84">
        <f t="shared" si="61"/>
        <v>230.40000000000001</v>
      </c>
      <c r="AI85" s="84"/>
      <c r="AJ85" s="84"/>
      <c r="AK85" s="84">
        <f t="shared" si="62"/>
        <v>144</v>
      </c>
      <c r="AL85" s="84">
        <f t="shared" si="63"/>
        <v>228</v>
      </c>
      <c r="BM85" s="84">
        <v>60</v>
      </c>
      <c r="BN85" s="84">
        <v>114</v>
      </c>
      <c r="BO85" s="84" t="s">
        <v>512</v>
      </c>
      <c r="BQ85" s="84">
        <v>60</v>
      </c>
      <c r="BR85" s="84">
        <v>100</v>
      </c>
      <c r="BS85" s="84" t="s">
        <v>512</v>
      </c>
      <c r="BT85" s="84"/>
      <c r="BU85" s="84">
        <v>60</v>
      </c>
      <c r="BV85" s="84">
        <v>96</v>
      </c>
      <c r="BW85" s="84" t="s">
        <v>512</v>
      </c>
      <c r="BX85" s="84"/>
      <c r="BY85" s="84">
        <v>60</v>
      </c>
      <c r="BZ85" s="84">
        <v>95</v>
      </c>
      <c r="CA85" s="84" t="s">
        <v>512</v>
      </c>
      <c r="CB85" s="84"/>
      <c r="CC85" s="84">
        <v>140</v>
      </c>
      <c r="CD85" s="84">
        <v>140</v>
      </c>
      <c r="CE85" s="84">
        <v>140</v>
      </c>
      <c r="CF85" s="84">
        <v>140</v>
      </c>
      <c r="CG85" s="84">
        <v>140</v>
      </c>
      <c r="CH85" s="84">
        <v>140</v>
      </c>
      <c r="CI85" s="84">
        <v>140</v>
      </c>
      <c r="CJ85" s="84">
        <v>140</v>
      </c>
    </row>
    <row r="86" ht="15.75" customHeight="1">
      <c r="A86" s="174" t="s">
        <v>123</v>
      </c>
      <c r="B86" s="51" t="s">
        <v>154</v>
      </c>
      <c r="C86" s="51" t="s">
        <v>516</v>
      </c>
      <c r="D86" s="174" t="s">
        <v>517</v>
      </c>
      <c r="E86" s="161" t="s">
        <v>517</v>
      </c>
      <c r="F86" s="51" t="s">
        <v>146</v>
      </c>
      <c r="I86" s="51" t="s">
        <v>395</v>
      </c>
      <c r="J86" s="51" t="s">
        <v>412</v>
      </c>
      <c r="O86" s="51" t="s">
        <v>397</v>
      </c>
      <c r="W86" s="175">
        <v>18.5</v>
      </c>
      <c r="Y86" s="62">
        <f t="shared" si="56"/>
        <v>0</v>
      </c>
      <c r="Z86" s="62">
        <f t="shared" si="57"/>
        <v>121.2</v>
      </c>
      <c r="AA86" s="62"/>
      <c r="AB86" s="62"/>
      <c r="AC86" s="62">
        <f t="shared" si="58"/>
        <v>0</v>
      </c>
      <c r="AD86" s="62">
        <f t="shared" si="59"/>
        <v>121.2</v>
      </c>
      <c r="AE86" s="62"/>
      <c r="AF86" s="62"/>
      <c r="AG86" s="62">
        <f t="shared" si="60"/>
        <v>0</v>
      </c>
      <c r="AH86" s="62">
        <f t="shared" si="61"/>
        <v>121.2</v>
      </c>
      <c r="AI86" s="62"/>
      <c r="AJ86" s="62"/>
      <c r="AK86" s="62">
        <f t="shared" si="62"/>
        <v>0</v>
      </c>
      <c r="AL86" s="62">
        <f t="shared" si="63"/>
        <v>121.2</v>
      </c>
      <c r="AO86" s="62"/>
      <c r="AP86" s="62"/>
      <c r="AS86" s="62"/>
      <c r="AT86" s="62"/>
      <c r="AW86" s="62"/>
      <c r="AX86" s="62"/>
      <c r="BA86" s="62"/>
      <c r="BB86" s="62"/>
      <c r="BE86" s="62"/>
      <c r="BF86" s="62"/>
      <c r="BG86" s="62"/>
      <c r="BH86" s="62"/>
      <c r="BI86" s="62"/>
      <c r="BJ86" s="62"/>
      <c r="BK86" s="62"/>
      <c r="BL86" s="62"/>
      <c r="BM86" s="62"/>
      <c r="BN86" s="62">
        <v>50.5</v>
      </c>
      <c r="BO86" s="62" t="s">
        <v>398</v>
      </c>
      <c r="BP86" s="62"/>
      <c r="BQ86" s="62"/>
      <c r="BR86" s="62">
        <v>50.5</v>
      </c>
      <c r="BS86" s="62" t="s">
        <v>398</v>
      </c>
      <c r="BT86" s="62"/>
      <c r="BU86" s="62"/>
      <c r="BV86" s="62">
        <v>50.5</v>
      </c>
      <c r="BW86" s="62" t="s">
        <v>398</v>
      </c>
      <c r="BX86" s="62"/>
      <c r="BY86" s="62"/>
      <c r="BZ86" s="62">
        <v>50.5</v>
      </c>
      <c r="CA86" s="62" t="s">
        <v>398</v>
      </c>
      <c r="CB86" s="62"/>
      <c r="CC86" s="62">
        <v>140</v>
      </c>
      <c r="CD86" s="62">
        <v>140</v>
      </c>
      <c r="CE86" s="62">
        <v>140</v>
      </c>
      <c r="CF86" s="62">
        <v>140</v>
      </c>
      <c r="CG86" s="62">
        <v>140</v>
      </c>
      <c r="CH86" s="62">
        <v>140</v>
      </c>
      <c r="CI86" s="62">
        <v>140</v>
      </c>
      <c r="CJ86" s="62">
        <v>140</v>
      </c>
    </row>
    <row r="87">
      <c r="A87" s="174" t="s">
        <v>123</v>
      </c>
      <c r="B87" s="51" t="s">
        <v>154</v>
      </c>
      <c r="C87" s="51" t="s">
        <v>518</v>
      </c>
      <c r="D87" s="174" t="s">
        <v>517</v>
      </c>
      <c r="E87" s="161" t="s">
        <v>517</v>
      </c>
      <c r="F87" s="51" t="s">
        <v>146</v>
      </c>
      <c r="I87" s="51" t="s">
        <v>395</v>
      </c>
      <c r="J87" s="51" t="s">
        <v>412</v>
      </c>
      <c r="O87" s="51" t="s">
        <v>400</v>
      </c>
      <c r="P87" s="51" t="s">
        <v>401</v>
      </c>
      <c r="Q87" s="51" t="s">
        <v>397</v>
      </c>
      <c r="T87" s="106" t="s">
        <v>174</v>
      </c>
      <c r="W87" s="175">
        <v>18.5</v>
      </c>
      <c r="Y87" s="62">
        <f t="shared" si="56"/>
        <v>36</v>
      </c>
      <c r="Z87" s="62">
        <f t="shared" si="57"/>
        <v>182.40000000000001</v>
      </c>
      <c r="AA87" s="62"/>
      <c r="AB87" s="62"/>
      <c r="AC87" s="62">
        <f t="shared" si="58"/>
        <v>36</v>
      </c>
      <c r="AD87" s="62">
        <f t="shared" si="59"/>
        <v>182.40000000000001</v>
      </c>
      <c r="AE87" s="62"/>
      <c r="AF87" s="62"/>
      <c r="AG87" s="62">
        <f t="shared" si="60"/>
        <v>36</v>
      </c>
      <c r="AH87" s="62">
        <f t="shared" si="61"/>
        <v>182.40000000000001</v>
      </c>
      <c r="AI87" s="62"/>
      <c r="AJ87" s="62"/>
      <c r="AK87" s="62">
        <f t="shared" si="62"/>
        <v>36</v>
      </c>
      <c r="AL87" s="62">
        <f t="shared" si="63"/>
        <v>182.40000000000001</v>
      </c>
      <c r="BM87" s="62">
        <v>15</v>
      </c>
      <c r="BN87" s="62">
        <v>76</v>
      </c>
      <c r="BO87" s="62" t="s">
        <v>512</v>
      </c>
      <c r="BQ87" s="62">
        <v>15</v>
      </c>
      <c r="BR87" s="62">
        <v>76</v>
      </c>
      <c r="BS87" s="62" t="s">
        <v>512</v>
      </c>
      <c r="BT87" s="62"/>
      <c r="BU87" s="62">
        <v>15</v>
      </c>
      <c r="BV87" s="62">
        <v>76</v>
      </c>
      <c r="BW87" s="62" t="s">
        <v>512</v>
      </c>
      <c r="BX87" s="62"/>
      <c r="BY87" s="62">
        <v>15</v>
      </c>
      <c r="BZ87" s="62">
        <v>76</v>
      </c>
      <c r="CA87" s="62" t="s">
        <v>512</v>
      </c>
      <c r="CB87" s="62"/>
      <c r="CC87" s="62">
        <v>140</v>
      </c>
      <c r="CD87" s="62">
        <v>140</v>
      </c>
      <c r="CE87" s="62">
        <v>140</v>
      </c>
      <c r="CF87" s="62">
        <v>140</v>
      </c>
      <c r="CG87" s="62">
        <v>140</v>
      </c>
      <c r="CH87" s="62">
        <v>140</v>
      </c>
      <c r="CI87" s="62">
        <v>140</v>
      </c>
      <c r="CJ87" s="62">
        <v>140</v>
      </c>
    </row>
    <row r="88">
      <c r="A88" s="174" t="s">
        <v>123</v>
      </c>
      <c r="B88" s="51" t="s">
        <v>154</v>
      </c>
      <c r="C88" s="51" t="s">
        <v>519</v>
      </c>
      <c r="D88" s="174" t="s">
        <v>517</v>
      </c>
      <c r="E88" s="161" t="s">
        <v>517</v>
      </c>
      <c r="F88" s="51" t="s">
        <v>146</v>
      </c>
      <c r="I88" s="51" t="s">
        <v>395</v>
      </c>
      <c r="J88" s="51" t="s">
        <v>412</v>
      </c>
      <c r="O88" s="51" t="s">
        <v>404</v>
      </c>
      <c r="P88" s="51" t="s">
        <v>401</v>
      </c>
      <c r="Q88" s="51" t="s">
        <v>401</v>
      </c>
      <c r="T88" s="106" t="s">
        <v>174</v>
      </c>
      <c r="W88" s="175">
        <v>18.5</v>
      </c>
      <c r="Y88" s="62">
        <f t="shared" si="56"/>
        <v>79.200000000000003</v>
      </c>
      <c r="Z88" s="62">
        <f t="shared" si="57"/>
        <v>228</v>
      </c>
      <c r="AA88" s="62"/>
      <c r="AB88" s="62"/>
      <c r="AC88" s="62">
        <f t="shared" si="58"/>
        <v>79.200000000000003</v>
      </c>
      <c r="AD88" s="62">
        <f t="shared" si="59"/>
        <v>223.19999999999999</v>
      </c>
      <c r="AE88" s="62"/>
      <c r="AF88" s="62"/>
      <c r="AG88" s="62">
        <f t="shared" si="60"/>
        <v>79.200000000000003</v>
      </c>
      <c r="AH88" s="62">
        <f t="shared" si="61"/>
        <v>220.80000000000001</v>
      </c>
      <c r="AI88" s="62"/>
      <c r="AJ88" s="62"/>
      <c r="AK88" s="62">
        <f t="shared" si="62"/>
        <v>79.200000000000003</v>
      </c>
      <c r="AL88" s="62">
        <f t="shared" si="63"/>
        <v>220.80000000000001</v>
      </c>
      <c r="BM88" s="62">
        <v>33</v>
      </c>
      <c r="BN88" s="62">
        <v>95</v>
      </c>
      <c r="BO88" s="62" t="s">
        <v>512</v>
      </c>
      <c r="BQ88" s="62">
        <v>33</v>
      </c>
      <c r="BR88" s="62">
        <v>93</v>
      </c>
      <c r="BS88" s="62" t="s">
        <v>512</v>
      </c>
      <c r="BT88" s="62"/>
      <c r="BU88" s="62">
        <v>33</v>
      </c>
      <c r="BV88" s="62">
        <v>92</v>
      </c>
      <c r="BW88" s="62" t="s">
        <v>512</v>
      </c>
      <c r="BX88" s="62"/>
      <c r="BY88" s="62">
        <v>33</v>
      </c>
      <c r="BZ88" s="62">
        <v>92</v>
      </c>
      <c r="CA88" s="62" t="s">
        <v>512</v>
      </c>
      <c r="CB88" s="62"/>
      <c r="CC88" s="62">
        <v>140</v>
      </c>
      <c r="CD88" s="62">
        <v>140</v>
      </c>
      <c r="CE88" s="62">
        <v>140</v>
      </c>
      <c r="CF88" s="62">
        <v>140</v>
      </c>
      <c r="CG88" s="62">
        <v>140</v>
      </c>
      <c r="CH88" s="62">
        <v>140</v>
      </c>
      <c r="CI88" s="62">
        <v>140</v>
      </c>
      <c r="CJ88" s="62">
        <v>140</v>
      </c>
    </row>
    <row r="89">
      <c r="A89" s="174" t="s">
        <v>123</v>
      </c>
      <c r="B89" s="51" t="s">
        <v>154</v>
      </c>
      <c r="C89" s="51" t="s">
        <v>520</v>
      </c>
      <c r="D89" s="174" t="s">
        <v>517</v>
      </c>
      <c r="E89" s="161" t="s">
        <v>517</v>
      </c>
      <c r="F89" s="51" t="s">
        <v>146</v>
      </c>
      <c r="I89" s="51" t="s">
        <v>395</v>
      </c>
      <c r="J89" s="51" t="s">
        <v>412</v>
      </c>
      <c r="O89" s="51" t="s">
        <v>406</v>
      </c>
      <c r="P89" s="51" t="s">
        <v>171</v>
      </c>
      <c r="Q89" s="51" t="s">
        <v>397</v>
      </c>
      <c r="T89" s="106" t="s">
        <v>174</v>
      </c>
      <c r="W89" s="175">
        <v>18.5</v>
      </c>
      <c r="Y89" s="62">
        <f t="shared" si="56"/>
        <v>96</v>
      </c>
      <c r="Z89" s="62">
        <f t="shared" si="57"/>
        <v>192</v>
      </c>
      <c r="AA89" s="62"/>
      <c r="AB89" s="62"/>
      <c r="AC89" s="62">
        <f t="shared" si="58"/>
        <v>96</v>
      </c>
      <c r="AD89" s="62">
        <f t="shared" si="59"/>
        <v>187.19999999999999</v>
      </c>
      <c r="AE89" s="62"/>
      <c r="AF89" s="62"/>
      <c r="AG89" s="62">
        <f t="shared" si="60"/>
        <v>96</v>
      </c>
      <c r="AH89" s="62">
        <f t="shared" si="61"/>
        <v>187.19999999999999</v>
      </c>
      <c r="AI89" s="62"/>
      <c r="AJ89" s="62"/>
      <c r="AK89" s="62">
        <f t="shared" si="62"/>
        <v>96</v>
      </c>
      <c r="AL89" s="62">
        <f t="shared" si="63"/>
        <v>187.19999999999999</v>
      </c>
      <c r="BM89" s="62">
        <v>40</v>
      </c>
      <c r="BN89" s="62">
        <v>80</v>
      </c>
      <c r="BO89" s="62" t="s">
        <v>512</v>
      </c>
      <c r="BQ89" s="62">
        <v>40</v>
      </c>
      <c r="BR89" s="62">
        <v>78</v>
      </c>
      <c r="BS89" s="62" t="s">
        <v>512</v>
      </c>
      <c r="BT89" s="62"/>
      <c r="BU89" s="62">
        <v>40</v>
      </c>
      <c r="BV89" s="62">
        <v>78</v>
      </c>
      <c r="BW89" s="62" t="s">
        <v>512</v>
      </c>
      <c r="BX89" s="62"/>
      <c r="BY89" s="62">
        <v>40</v>
      </c>
      <c r="BZ89" s="62">
        <v>78</v>
      </c>
      <c r="CA89" s="62" t="s">
        <v>512</v>
      </c>
      <c r="CB89" s="62"/>
      <c r="CC89" s="62">
        <v>140</v>
      </c>
      <c r="CD89" s="62">
        <v>140</v>
      </c>
      <c r="CE89" s="62">
        <v>140</v>
      </c>
      <c r="CF89" s="62">
        <v>140</v>
      </c>
      <c r="CG89" s="62">
        <v>140</v>
      </c>
      <c r="CH89" s="62">
        <v>140</v>
      </c>
      <c r="CI89" s="62">
        <v>140</v>
      </c>
      <c r="CJ89" s="62">
        <v>140</v>
      </c>
    </row>
    <row r="90">
      <c r="A90" s="174" t="s">
        <v>123</v>
      </c>
      <c r="B90" s="51" t="s">
        <v>154</v>
      </c>
      <c r="C90" s="51" t="s">
        <v>521</v>
      </c>
      <c r="D90" s="174" t="s">
        <v>517</v>
      </c>
      <c r="E90" s="161" t="s">
        <v>517</v>
      </c>
      <c r="F90" s="51" t="s">
        <v>146</v>
      </c>
      <c r="I90" s="51" t="s">
        <v>395</v>
      </c>
      <c r="J90" s="51" t="s">
        <v>412</v>
      </c>
      <c r="O90" s="51" t="s">
        <v>408</v>
      </c>
      <c r="P90" s="51" t="s">
        <v>171</v>
      </c>
      <c r="Q90" s="51" t="s">
        <v>171</v>
      </c>
      <c r="T90" s="106" t="s">
        <v>174</v>
      </c>
      <c r="W90" s="175">
        <v>18.5</v>
      </c>
      <c r="Y90" s="62">
        <f t="shared" si="56"/>
        <v>180</v>
      </c>
      <c r="Z90" s="62">
        <f t="shared" si="57"/>
        <v>264</v>
      </c>
      <c r="AA90" s="62"/>
      <c r="AB90" s="62"/>
      <c r="AC90" s="62">
        <f t="shared" si="58"/>
        <v>180</v>
      </c>
      <c r="AD90" s="62">
        <f t="shared" si="59"/>
        <v>230.40000000000001</v>
      </c>
      <c r="AE90" s="62"/>
      <c r="AF90" s="62"/>
      <c r="AG90" s="62">
        <f t="shared" si="60"/>
        <v>180</v>
      </c>
      <c r="AH90" s="62">
        <f t="shared" si="61"/>
        <v>228</v>
      </c>
      <c r="AI90" s="62"/>
      <c r="AJ90" s="62"/>
      <c r="AK90" s="62">
        <f t="shared" si="62"/>
        <v>180</v>
      </c>
      <c r="AL90" s="62">
        <f t="shared" si="63"/>
        <v>225.59999999999999</v>
      </c>
      <c r="BM90" s="62">
        <v>75</v>
      </c>
      <c r="BN90" s="62">
        <v>110</v>
      </c>
      <c r="BO90" s="62" t="s">
        <v>512</v>
      </c>
      <c r="BQ90" s="62">
        <v>75</v>
      </c>
      <c r="BR90" s="62">
        <v>96</v>
      </c>
      <c r="BS90" s="62" t="s">
        <v>512</v>
      </c>
      <c r="BT90" s="62"/>
      <c r="BU90" s="62">
        <v>75</v>
      </c>
      <c r="BV90" s="62">
        <v>95</v>
      </c>
      <c r="BW90" s="62" t="s">
        <v>512</v>
      </c>
      <c r="BX90" s="62"/>
      <c r="BY90" s="62">
        <v>75</v>
      </c>
      <c r="BZ90" s="62">
        <v>94</v>
      </c>
      <c r="CA90" s="62" t="s">
        <v>512</v>
      </c>
      <c r="CB90" s="62"/>
      <c r="CC90" s="62">
        <v>140</v>
      </c>
      <c r="CD90" s="62">
        <v>140</v>
      </c>
      <c r="CE90" s="62">
        <v>140</v>
      </c>
      <c r="CF90" s="62">
        <v>140</v>
      </c>
      <c r="CG90" s="62">
        <v>140</v>
      </c>
      <c r="CH90" s="62">
        <v>140</v>
      </c>
      <c r="CI90" s="62">
        <v>140</v>
      </c>
      <c r="CJ90" s="62">
        <v>140</v>
      </c>
    </row>
    <row r="91" s="76" customFormat="1">
      <c r="A91" s="77" t="s">
        <v>36</v>
      </c>
      <c r="B91" s="76" t="s">
        <v>144</v>
      </c>
      <c r="C91" s="76" t="s">
        <v>522</v>
      </c>
      <c r="D91" s="177" t="s">
        <v>423</v>
      </c>
      <c r="E91" s="177" t="s">
        <v>424</v>
      </c>
      <c r="F91" s="76" t="s">
        <v>181</v>
      </c>
      <c r="H91" s="76" t="s">
        <v>315</v>
      </c>
      <c r="I91" s="76" t="s">
        <v>395</v>
      </c>
      <c r="J91" s="76" t="s">
        <v>425</v>
      </c>
      <c r="O91" s="76" t="s">
        <v>406</v>
      </c>
      <c r="P91" s="76" t="s">
        <v>171</v>
      </c>
      <c r="Q91" s="76" t="s">
        <v>397</v>
      </c>
      <c r="R91" s="77"/>
      <c r="T91" s="99" t="s">
        <v>174</v>
      </c>
      <c r="W91" s="86">
        <v>5</v>
      </c>
      <c r="Y91" s="84">
        <f t="shared" si="56"/>
        <v>33.839999999999996</v>
      </c>
      <c r="Z91" s="84">
        <f t="shared" si="57"/>
        <v>35.519999999999996</v>
      </c>
      <c r="AA91" s="84"/>
      <c r="AB91" s="84"/>
      <c r="AC91" s="84">
        <f t="shared" si="58"/>
        <v>37.920000000000002</v>
      </c>
      <c r="AD91" s="84">
        <f t="shared" si="59"/>
        <v>31.920000000000002</v>
      </c>
      <c r="AE91" s="84"/>
      <c r="AF91" s="84"/>
      <c r="AG91" s="84">
        <f t="shared" si="60"/>
        <v>156.72</v>
      </c>
      <c r="AH91" s="84">
        <f t="shared" si="61"/>
        <v>28.560000000000002</v>
      </c>
      <c r="AI91" s="84"/>
      <c r="AJ91" s="84"/>
      <c r="AK91" s="84">
        <f t="shared" si="62"/>
        <v>224.40000000000001</v>
      </c>
      <c r="AL91" s="84">
        <f t="shared" si="63"/>
        <v>29.039999999999999</v>
      </c>
      <c r="BM91" s="84">
        <v>14.1</v>
      </c>
      <c r="BN91" s="84">
        <v>14.800000000000001</v>
      </c>
      <c r="BO91" s="84" t="s">
        <v>175</v>
      </c>
      <c r="BQ91" s="84">
        <v>15.800000000000001</v>
      </c>
      <c r="BR91" s="84">
        <v>13.300000000000001</v>
      </c>
      <c r="BS91" s="84" t="s">
        <v>175</v>
      </c>
      <c r="BT91" s="84"/>
      <c r="BU91" s="84">
        <v>65.299999999999997</v>
      </c>
      <c r="BV91" s="84">
        <v>11.9</v>
      </c>
      <c r="BW91" s="84" t="s">
        <v>175</v>
      </c>
      <c r="BX91" s="84"/>
      <c r="BY91" s="84">
        <v>93.5</v>
      </c>
      <c r="BZ91" s="84">
        <v>12.1</v>
      </c>
      <c r="CA91" s="84" t="s">
        <v>175</v>
      </c>
      <c r="CB91" s="84"/>
      <c r="CC91" s="84">
        <v>140</v>
      </c>
      <c r="CD91" s="84">
        <v>140</v>
      </c>
      <c r="CE91" s="84">
        <v>140</v>
      </c>
      <c r="CF91" s="84">
        <v>140</v>
      </c>
      <c r="CG91" s="84">
        <v>140</v>
      </c>
      <c r="CH91" s="84">
        <v>140</v>
      </c>
      <c r="CI91" s="84">
        <v>140</v>
      </c>
      <c r="CJ91" s="84">
        <v>140</v>
      </c>
    </row>
    <row r="92" s="76" customFormat="1">
      <c r="A92" s="77" t="s">
        <v>36</v>
      </c>
      <c r="B92" s="76" t="s">
        <v>144</v>
      </c>
      <c r="C92" s="76" t="s">
        <v>523</v>
      </c>
      <c r="D92" s="177" t="s">
        <v>423</v>
      </c>
      <c r="E92" s="177" t="s">
        <v>424</v>
      </c>
      <c r="F92" s="76" t="s">
        <v>181</v>
      </c>
      <c r="H92" s="76" t="s">
        <v>315</v>
      </c>
      <c r="I92" s="76" t="s">
        <v>395</v>
      </c>
      <c r="J92" s="76" t="s">
        <v>425</v>
      </c>
      <c r="O92" s="76" t="s">
        <v>408</v>
      </c>
      <c r="P92" s="76" t="s">
        <v>171</v>
      </c>
      <c r="Q92" s="76" t="s">
        <v>171</v>
      </c>
      <c r="R92" s="77"/>
      <c r="T92" s="99" t="s">
        <v>174</v>
      </c>
      <c r="W92" s="86">
        <v>5</v>
      </c>
      <c r="Y92" s="84">
        <f t="shared" si="56"/>
        <v>47.759999999999998</v>
      </c>
      <c r="Z92" s="84">
        <f t="shared" si="57"/>
        <v>44.879999999999995</v>
      </c>
      <c r="AA92" s="84"/>
      <c r="AB92" s="84"/>
      <c r="AC92" s="84">
        <f t="shared" si="58"/>
        <v>48.719999999999999</v>
      </c>
      <c r="AD92" s="84">
        <f t="shared" si="59"/>
        <v>38.399999999999999</v>
      </c>
      <c r="AE92" s="84"/>
      <c r="AF92" s="84"/>
      <c r="AG92" s="84">
        <f t="shared" si="60"/>
        <v>179.75999999999999</v>
      </c>
      <c r="AH92" s="84">
        <f t="shared" si="61"/>
        <v>33.839999999999996</v>
      </c>
      <c r="AI92" s="84"/>
      <c r="AJ92" s="84"/>
      <c r="AK92" s="84">
        <f t="shared" si="62"/>
        <v>227.76000000000002</v>
      </c>
      <c r="AL92" s="84">
        <f t="shared" si="63"/>
        <v>34.560000000000002</v>
      </c>
      <c r="BM92" s="84">
        <v>19.899999999999999</v>
      </c>
      <c r="BN92" s="84">
        <v>18.699999999999999</v>
      </c>
      <c r="BO92" s="84" t="s">
        <v>175</v>
      </c>
      <c r="BQ92" s="84">
        <v>20.300000000000001</v>
      </c>
      <c r="BR92" s="84">
        <v>16</v>
      </c>
      <c r="BS92" s="84" t="s">
        <v>175</v>
      </c>
      <c r="BT92" s="84"/>
      <c r="BU92" s="84">
        <v>74.900000000000006</v>
      </c>
      <c r="BV92" s="84">
        <v>14.1</v>
      </c>
      <c r="BW92" s="84" t="s">
        <v>175</v>
      </c>
      <c r="BX92" s="84"/>
      <c r="BY92" s="84">
        <v>94.900000000000006</v>
      </c>
      <c r="BZ92" s="84">
        <v>14.4</v>
      </c>
      <c r="CA92" s="84" t="s">
        <v>175</v>
      </c>
      <c r="CB92" s="84"/>
      <c r="CC92" s="84">
        <v>140</v>
      </c>
      <c r="CD92" s="84">
        <v>140</v>
      </c>
      <c r="CE92" s="84">
        <v>140</v>
      </c>
      <c r="CF92" s="84">
        <v>140</v>
      </c>
      <c r="CG92" s="84">
        <v>140</v>
      </c>
      <c r="CH92" s="84">
        <v>140</v>
      </c>
      <c r="CI92" s="84">
        <v>140</v>
      </c>
      <c r="CJ92" s="84">
        <v>140</v>
      </c>
    </row>
    <row r="93" s="76" customFormat="1">
      <c r="A93" s="77" t="s">
        <v>36</v>
      </c>
      <c r="B93" s="76" t="s">
        <v>144</v>
      </c>
      <c r="C93" s="76" t="s">
        <v>524</v>
      </c>
      <c r="D93" s="177" t="s">
        <v>423</v>
      </c>
      <c r="E93" s="177" t="s">
        <v>424</v>
      </c>
      <c r="F93" s="76" t="s">
        <v>181</v>
      </c>
      <c r="H93" s="76" t="s">
        <v>315</v>
      </c>
      <c r="I93" s="76" t="s">
        <v>395</v>
      </c>
      <c r="J93" s="76" t="s">
        <v>425</v>
      </c>
      <c r="O93" s="76" t="s">
        <v>429</v>
      </c>
      <c r="P93" s="76" t="s">
        <v>171</v>
      </c>
      <c r="Q93" s="76" t="s">
        <v>401</v>
      </c>
      <c r="R93" s="77"/>
      <c r="T93" s="99" t="s">
        <v>174</v>
      </c>
      <c r="W93" s="86">
        <v>5</v>
      </c>
      <c r="Y93" s="84">
        <f t="shared" si="56"/>
        <v>49.920000000000002</v>
      </c>
      <c r="Z93" s="84">
        <f t="shared" si="57"/>
        <v>44.399999999999999</v>
      </c>
      <c r="AA93" s="84"/>
      <c r="AB93" s="84"/>
      <c r="AC93" s="84">
        <f t="shared" si="58"/>
        <v>81.120000000000005</v>
      </c>
      <c r="AD93" s="84">
        <f t="shared" si="59"/>
        <v>40.799999999999997</v>
      </c>
      <c r="AE93" s="84"/>
      <c r="AF93" s="84"/>
      <c r="AG93" s="84">
        <f t="shared" si="60"/>
        <v>202.07999999999998</v>
      </c>
      <c r="AH93" s="84">
        <f t="shared" si="61"/>
        <v>36</v>
      </c>
      <c r="AI93" s="84"/>
      <c r="AJ93" s="84"/>
      <c r="AK93" s="84">
        <f t="shared" si="62"/>
        <v>299.28000000000003</v>
      </c>
      <c r="AL93" s="84">
        <f t="shared" si="63"/>
        <v>35.280000000000001</v>
      </c>
      <c r="BM93" s="84">
        <v>20.800000000000001</v>
      </c>
      <c r="BN93" s="84">
        <v>18.5</v>
      </c>
      <c r="BO93" s="84" t="s">
        <v>175</v>
      </c>
      <c r="BQ93" s="84">
        <v>33.799999999999997</v>
      </c>
      <c r="BR93" s="84">
        <v>17</v>
      </c>
      <c r="BS93" s="84" t="s">
        <v>175</v>
      </c>
      <c r="BT93" s="84"/>
      <c r="BU93" s="84">
        <v>84.200000000000003</v>
      </c>
      <c r="BV93" s="84">
        <v>15</v>
      </c>
      <c r="BW93" s="84" t="s">
        <v>175</v>
      </c>
      <c r="BX93" s="84"/>
      <c r="BY93" s="84">
        <v>124.7</v>
      </c>
      <c r="BZ93" s="84">
        <v>14.699999999999999</v>
      </c>
      <c r="CA93" s="84" t="s">
        <v>175</v>
      </c>
      <c r="CB93" s="84"/>
      <c r="CC93" s="84">
        <v>140</v>
      </c>
      <c r="CD93" s="84">
        <v>140</v>
      </c>
      <c r="CE93" s="84">
        <v>140</v>
      </c>
      <c r="CF93" s="84">
        <v>140</v>
      </c>
      <c r="CG93" s="84">
        <v>140</v>
      </c>
      <c r="CH93" s="84">
        <v>140</v>
      </c>
      <c r="CI93" s="84">
        <v>140</v>
      </c>
      <c r="CJ93" s="84">
        <v>140</v>
      </c>
    </row>
    <row r="94" s="76" customFormat="1">
      <c r="A94" s="77" t="s">
        <v>36</v>
      </c>
      <c r="B94" s="76" t="s">
        <v>144</v>
      </c>
      <c r="C94" s="76" t="s">
        <v>525</v>
      </c>
      <c r="D94" s="177" t="s">
        <v>423</v>
      </c>
      <c r="E94" s="177" t="s">
        <v>424</v>
      </c>
      <c r="F94" s="76" t="s">
        <v>181</v>
      </c>
      <c r="H94" s="76" t="s">
        <v>315</v>
      </c>
      <c r="I94" s="76" t="s">
        <v>395</v>
      </c>
      <c r="J94" s="76" t="s">
        <v>425</v>
      </c>
      <c r="O94" s="76" t="s">
        <v>400</v>
      </c>
      <c r="P94" s="76" t="s">
        <v>401</v>
      </c>
      <c r="Q94" s="76" t="s">
        <v>397</v>
      </c>
      <c r="R94" s="77"/>
      <c r="T94" s="99" t="s">
        <v>174</v>
      </c>
      <c r="W94" s="86">
        <v>5</v>
      </c>
      <c r="Y94" s="84">
        <f t="shared" si="56"/>
        <v>35.280000000000001</v>
      </c>
      <c r="Z94" s="84">
        <f t="shared" si="57"/>
        <v>33.839999999999996</v>
      </c>
      <c r="AA94" s="84"/>
      <c r="AB94" s="84"/>
      <c r="AC94" s="84">
        <f t="shared" si="58"/>
        <v>63.600000000000001</v>
      </c>
      <c r="AD94" s="84">
        <f t="shared" si="59"/>
        <v>31.439999999999998</v>
      </c>
      <c r="AE94" s="84"/>
      <c r="AF94" s="84"/>
      <c r="AG94" s="84">
        <f t="shared" si="60"/>
        <v>161.75999999999999</v>
      </c>
      <c r="AH94" s="84">
        <f t="shared" si="61"/>
        <v>27.839999999999996</v>
      </c>
      <c r="AI94" s="84"/>
      <c r="AJ94" s="84"/>
      <c r="AK94" s="84">
        <f t="shared" si="62"/>
        <v>224.16</v>
      </c>
      <c r="AL94" s="84">
        <f t="shared" si="63"/>
        <v>28.560000000000002</v>
      </c>
      <c r="BM94" s="84">
        <v>14.699999999999999</v>
      </c>
      <c r="BN94" s="84">
        <v>14.1</v>
      </c>
      <c r="BO94" s="84" t="s">
        <v>175</v>
      </c>
      <c r="BQ94" s="84">
        <v>26.5</v>
      </c>
      <c r="BR94" s="84">
        <v>13.1</v>
      </c>
      <c r="BS94" s="84" t="s">
        <v>175</v>
      </c>
      <c r="BT94" s="84"/>
      <c r="BU94" s="84">
        <v>67.400000000000006</v>
      </c>
      <c r="BV94" s="84">
        <v>11.6</v>
      </c>
      <c r="BW94" s="84" t="s">
        <v>175</v>
      </c>
      <c r="BX94" s="84"/>
      <c r="BY94" s="84">
        <v>93.400000000000006</v>
      </c>
      <c r="BZ94" s="84">
        <v>11.9</v>
      </c>
      <c r="CA94" s="84" t="s">
        <v>175</v>
      </c>
      <c r="CB94" s="84"/>
      <c r="CC94" s="84">
        <v>140</v>
      </c>
      <c r="CD94" s="84">
        <v>140</v>
      </c>
      <c r="CE94" s="84">
        <v>140</v>
      </c>
      <c r="CF94" s="84">
        <v>140</v>
      </c>
      <c r="CG94" s="84">
        <v>140</v>
      </c>
      <c r="CH94" s="84">
        <v>140</v>
      </c>
      <c r="CI94" s="84">
        <v>140</v>
      </c>
      <c r="CJ94" s="84">
        <v>140</v>
      </c>
    </row>
    <row r="95" s="76" customFormat="1">
      <c r="A95" s="77" t="s">
        <v>36</v>
      </c>
      <c r="B95" s="76" t="s">
        <v>144</v>
      </c>
      <c r="C95" s="76" t="s">
        <v>526</v>
      </c>
      <c r="D95" s="177" t="s">
        <v>423</v>
      </c>
      <c r="E95" s="177" t="s">
        <v>424</v>
      </c>
      <c r="F95" s="76" t="s">
        <v>181</v>
      </c>
      <c r="H95" s="76" t="s">
        <v>315</v>
      </c>
      <c r="I95" s="76" t="s">
        <v>395</v>
      </c>
      <c r="J95" s="76" t="s">
        <v>425</v>
      </c>
      <c r="O95" s="76" t="s">
        <v>404</v>
      </c>
      <c r="P95" s="76" t="s">
        <v>401</v>
      </c>
      <c r="Q95" s="76" t="s">
        <v>401</v>
      </c>
      <c r="R95" s="77"/>
      <c r="T95" s="99" t="s">
        <v>174</v>
      </c>
      <c r="W95" s="86">
        <v>5</v>
      </c>
      <c r="Y95" s="84">
        <f t="shared" si="56"/>
        <v>41.280000000000001</v>
      </c>
      <c r="Z95" s="84">
        <f t="shared" si="57"/>
        <v>46.079999999999998</v>
      </c>
      <c r="AA95" s="84"/>
      <c r="AB95" s="84"/>
      <c r="AC95" s="84">
        <f t="shared" si="58"/>
        <v>76.799999999999997</v>
      </c>
      <c r="AD95" s="84">
        <f t="shared" si="59"/>
        <v>41.040000000000006</v>
      </c>
      <c r="AE95" s="84"/>
      <c r="AF95" s="84"/>
      <c r="AG95" s="84">
        <f t="shared" si="60"/>
        <v>205.68000000000001</v>
      </c>
      <c r="AH95" s="84">
        <f t="shared" si="61"/>
        <v>36</v>
      </c>
      <c r="AI95" s="84"/>
      <c r="AJ95" s="84"/>
      <c r="AK95" s="84">
        <f t="shared" si="62"/>
        <v>303.60000000000002</v>
      </c>
      <c r="AL95" s="84">
        <f t="shared" si="63"/>
        <v>35.519999999999996</v>
      </c>
      <c r="BM95" s="84">
        <v>17.199999999999999</v>
      </c>
      <c r="BN95" s="84">
        <v>19.199999999999999</v>
      </c>
      <c r="BO95" s="84" t="s">
        <v>175</v>
      </c>
      <c r="BQ95" s="84">
        <v>32</v>
      </c>
      <c r="BR95" s="84">
        <v>17.100000000000001</v>
      </c>
      <c r="BS95" s="84" t="s">
        <v>175</v>
      </c>
      <c r="BT95" s="84"/>
      <c r="BU95" s="84">
        <v>85.700000000000003</v>
      </c>
      <c r="BV95" s="84">
        <v>15</v>
      </c>
      <c r="BW95" s="84" t="s">
        <v>175</v>
      </c>
      <c r="BX95" s="84"/>
      <c r="BY95" s="84">
        <v>126.5</v>
      </c>
      <c r="BZ95" s="84">
        <v>14.800000000000001</v>
      </c>
      <c r="CA95" s="84" t="s">
        <v>175</v>
      </c>
      <c r="CB95" s="84"/>
      <c r="CC95" s="84">
        <v>140</v>
      </c>
      <c r="CD95" s="84">
        <v>140</v>
      </c>
      <c r="CE95" s="84">
        <v>140</v>
      </c>
      <c r="CF95" s="84">
        <v>140</v>
      </c>
      <c r="CG95" s="84">
        <v>140</v>
      </c>
      <c r="CH95" s="84">
        <v>140</v>
      </c>
      <c r="CI95" s="84">
        <v>140</v>
      </c>
      <c r="CJ95" s="84">
        <v>140</v>
      </c>
    </row>
    <row r="96" s="76" customFormat="1">
      <c r="A96" s="77" t="s">
        <v>36</v>
      </c>
      <c r="B96" s="76" t="s">
        <v>144</v>
      </c>
      <c r="C96" s="76" t="s">
        <v>527</v>
      </c>
      <c r="D96" s="177" t="s">
        <v>423</v>
      </c>
      <c r="E96" s="177" t="s">
        <v>424</v>
      </c>
      <c r="F96" s="76" t="s">
        <v>181</v>
      </c>
      <c r="H96" s="76" t="s">
        <v>315</v>
      </c>
      <c r="I96" s="76" t="s">
        <v>395</v>
      </c>
      <c r="J96" s="76" t="s">
        <v>300</v>
      </c>
      <c r="O96" s="76" t="s">
        <v>406</v>
      </c>
      <c r="P96" s="76" t="s">
        <v>171</v>
      </c>
      <c r="Q96" s="76" t="s">
        <v>397</v>
      </c>
      <c r="R96" s="77"/>
      <c r="T96" s="99" t="s">
        <v>174</v>
      </c>
      <c r="W96" s="86">
        <v>5.7000000000000002</v>
      </c>
      <c r="Y96" s="84">
        <f t="shared" si="56"/>
        <v>34.560000000000002</v>
      </c>
      <c r="Z96" s="84">
        <f t="shared" si="57"/>
        <v>36.240000000000002</v>
      </c>
      <c r="AA96" s="84"/>
      <c r="AB96" s="84"/>
      <c r="AC96" s="84">
        <f t="shared" si="58"/>
        <v>38.160000000000004</v>
      </c>
      <c r="AD96" s="84">
        <f t="shared" si="59"/>
        <v>32.640000000000001</v>
      </c>
      <c r="AE96" s="84"/>
      <c r="AF96" s="84"/>
      <c r="AG96" s="84">
        <f t="shared" si="60"/>
        <v>163.19999999999999</v>
      </c>
      <c r="AH96" s="84">
        <f t="shared" si="61"/>
        <v>29.039999999999999</v>
      </c>
      <c r="AI96" s="84"/>
      <c r="AJ96" s="84"/>
      <c r="AK96" s="84">
        <f t="shared" si="62"/>
        <v>221.03999999999999</v>
      </c>
      <c r="AL96" s="84">
        <f t="shared" si="63"/>
        <v>29.759999999999998</v>
      </c>
      <c r="BM96" s="84">
        <v>14.4</v>
      </c>
      <c r="BN96" s="84">
        <v>15.1</v>
      </c>
      <c r="BO96" s="84" t="s">
        <v>175</v>
      </c>
      <c r="BQ96" s="84">
        <v>15.9</v>
      </c>
      <c r="BR96" s="84">
        <v>13.6</v>
      </c>
      <c r="BS96" s="84" t="s">
        <v>175</v>
      </c>
      <c r="BT96" s="84"/>
      <c r="BU96" s="84">
        <v>68</v>
      </c>
      <c r="BV96" s="84">
        <v>12.1</v>
      </c>
      <c r="BW96" s="84" t="s">
        <v>175</v>
      </c>
      <c r="BX96" s="84"/>
      <c r="BY96" s="84">
        <v>92.099999999999994</v>
      </c>
      <c r="BZ96" s="84">
        <v>12.4</v>
      </c>
      <c r="CA96" s="84" t="s">
        <v>175</v>
      </c>
      <c r="CB96" s="84"/>
      <c r="CC96" s="84">
        <v>140</v>
      </c>
      <c r="CD96" s="84">
        <v>140</v>
      </c>
      <c r="CE96" s="84">
        <v>140</v>
      </c>
      <c r="CF96" s="84">
        <v>140</v>
      </c>
      <c r="CG96" s="84">
        <v>140</v>
      </c>
      <c r="CH96" s="84">
        <v>140</v>
      </c>
      <c r="CI96" s="84">
        <v>140</v>
      </c>
      <c r="CJ96" s="84">
        <v>140</v>
      </c>
    </row>
    <row r="97" s="76" customFormat="1">
      <c r="A97" s="77" t="s">
        <v>36</v>
      </c>
      <c r="B97" s="76" t="s">
        <v>144</v>
      </c>
      <c r="C97" s="76" t="s">
        <v>528</v>
      </c>
      <c r="D97" s="177" t="s">
        <v>423</v>
      </c>
      <c r="E97" s="177" t="s">
        <v>424</v>
      </c>
      <c r="F97" s="76" t="s">
        <v>181</v>
      </c>
      <c r="H97" s="76" t="s">
        <v>315</v>
      </c>
      <c r="I97" s="76" t="s">
        <v>395</v>
      </c>
      <c r="J97" s="76" t="s">
        <v>300</v>
      </c>
      <c r="O97" s="76" t="s">
        <v>408</v>
      </c>
      <c r="P97" s="76" t="s">
        <v>171</v>
      </c>
      <c r="Q97" s="76" t="s">
        <v>171</v>
      </c>
      <c r="R97" s="77"/>
      <c r="T97" s="99" t="s">
        <v>174</v>
      </c>
      <c r="W97" s="86">
        <v>5.7000000000000002</v>
      </c>
      <c r="Y97" s="84">
        <f t="shared" si="56"/>
        <v>48.959999999999994</v>
      </c>
      <c r="Z97" s="84">
        <f t="shared" si="57"/>
        <v>45.600000000000001</v>
      </c>
      <c r="AA97" s="84"/>
      <c r="AB97" s="84"/>
      <c r="AC97" s="84">
        <f t="shared" si="58"/>
        <v>50.159999999999997</v>
      </c>
      <c r="AD97" s="84">
        <f t="shared" si="59"/>
        <v>39.120000000000005</v>
      </c>
      <c r="AE97" s="84"/>
      <c r="AF97" s="84"/>
      <c r="AG97" s="84">
        <f t="shared" si="60"/>
        <v>182.40000000000001</v>
      </c>
      <c r="AH97" s="84">
        <f t="shared" si="61"/>
        <v>34.560000000000002</v>
      </c>
      <c r="AI97" s="84"/>
      <c r="AJ97" s="84"/>
      <c r="AK97" s="84">
        <f t="shared" si="62"/>
        <v>231.59999999999999</v>
      </c>
      <c r="AL97" s="84">
        <f t="shared" si="63"/>
        <v>35.280000000000001</v>
      </c>
      <c r="BM97" s="84">
        <v>20.399999999999999</v>
      </c>
      <c r="BN97" s="84">
        <v>19</v>
      </c>
      <c r="BO97" s="84" t="s">
        <v>175</v>
      </c>
      <c r="BQ97" s="84">
        <v>20.899999999999999</v>
      </c>
      <c r="BR97" s="84">
        <v>16.300000000000001</v>
      </c>
      <c r="BS97" s="84" t="s">
        <v>175</v>
      </c>
      <c r="BT97" s="84"/>
      <c r="BU97" s="84">
        <v>76</v>
      </c>
      <c r="BV97" s="84">
        <v>14.4</v>
      </c>
      <c r="BW97" s="84" t="s">
        <v>175</v>
      </c>
      <c r="BX97" s="84"/>
      <c r="BY97" s="84">
        <v>96.5</v>
      </c>
      <c r="BZ97" s="84">
        <v>14.699999999999999</v>
      </c>
      <c r="CA97" s="84" t="s">
        <v>175</v>
      </c>
      <c r="CB97" s="84"/>
      <c r="CC97" s="84">
        <v>140</v>
      </c>
      <c r="CD97" s="84">
        <v>140</v>
      </c>
      <c r="CE97" s="84">
        <v>140</v>
      </c>
      <c r="CF97" s="84">
        <v>140</v>
      </c>
      <c r="CG97" s="84">
        <v>140</v>
      </c>
      <c r="CH97" s="84">
        <v>140</v>
      </c>
      <c r="CI97" s="84">
        <v>140</v>
      </c>
      <c r="CJ97" s="84">
        <v>140</v>
      </c>
    </row>
    <row r="98" s="76" customFormat="1">
      <c r="A98" s="77" t="s">
        <v>36</v>
      </c>
      <c r="B98" s="76" t="s">
        <v>144</v>
      </c>
      <c r="C98" s="76" t="s">
        <v>529</v>
      </c>
      <c r="D98" s="177" t="s">
        <v>423</v>
      </c>
      <c r="E98" s="177" t="s">
        <v>424</v>
      </c>
      <c r="F98" s="76" t="s">
        <v>181</v>
      </c>
      <c r="H98" s="76" t="s">
        <v>315</v>
      </c>
      <c r="I98" s="76" t="s">
        <v>395</v>
      </c>
      <c r="J98" s="76" t="s">
        <v>300</v>
      </c>
      <c r="O98" s="76" t="s">
        <v>429</v>
      </c>
      <c r="P98" s="76" t="s">
        <v>171</v>
      </c>
      <c r="Q98" s="76" t="s">
        <v>401</v>
      </c>
      <c r="R98" s="77"/>
      <c r="T98" s="99" t="s">
        <v>174</v>
      </c>
      <c r="W98" s="86">
        <v>5.7000000000000002</v>
      </c>
      <c r="Y98" s="84">
        <f t="shared" si="56"/>
        <v>50.879999999999995</v>
      </c>
      <c r="Z98" s="84">
        <f t="shared" si="57"/>
        <v>45.120000000000005</v>
      </c>
      <c r="AA98" s="84"/>
      <c r="AB98" s="84"/>
      <c r="AC98" s="84">
        <f t="shared" si="58"/>
        <v>81.840000000000003</v>
      </c>
      <c r="AD98" s="84">
        <f t="shared" si="59"/>
        <v>41.759999999999998</v>
      </c>
      <c r="AE98" s="84"/>
      <c r="AF98" s="84"/>
      <c r="AG98" s="84">
        <f t="shared" si="60"/>
        <v>199.19999999999999</v>
      </c>
      <c r="AH98" s="84">
        <f t="shared" si="61"/>
        <v>36.960000000000001</v>
      </c>
      <c r="AI98" s="84"/>
      <c r="AJ98" s="84"/>
      <c r="AK98" s="84">
        <f t="shared" si="62"/>
        <v>305.28000000000003</v>
      </c>
      <c r="AL98" s="84">
        <f t="shared" si="63"/>
        <v>36</v>
      </c>
      <c r="BM98" s="84">
        <v>21.199999999999999</v>
      </c>
      <c r="BN98" s="84">
        <v>18.800000000000001</v>
      </c>
      <c r="BO98" s="84" t="s">
        <v>175</v>
      </c>
      <c r="BQ98" s="84">
        <v>34.100000000000001</v>
      </c>
      <c r="BR98" s="84">
        <v>17.399999999999999</v>
      </c>
      <c r="BS98" s="84" t="s">
        <v>175</v>
      </c>
      <c r="BT98" s="84"/>
      <c r="BU98" s="84">
        <v>83</v>
      </c>
      <c r="BV98" s="84">
        <v>15.4</v>
      </c>
      <c r="BW98" s="84" t="s">
        <v>175</v>
      </c>
      <c r="BX98" s="84"/>
      <c r="BY98" s="84">
        <v>127.2</v>
      </c>
      <c r="BZ98" s="84">
        <v>15</v>
      </c>
      <c r="CA98" s="84" t="s">
        <v>175</v>
      </c>
      <c r="CB98" s="84"/>
      <c r="CC98" s="84">
        <v>140</v>
      </c>
      <c r="CD98" s="84">
        <v>140</v>
      </c>
      <c r="CE98" s="84">
        <v>140</v>
      </c>
      <c r="CF98" s="84">
        <v>140</v>
      </c>
      <c r="CG98" s="84">
        <v>140</v>
      </c>
      <c r="CH98" s="84">
        <v>140</v>
      </c>
      <c r="CI98" s="84">
        <v>140</v>
      </c>
      <c r="CJ98" s="84">
        <v>140</v>
      </c>
    </row>
    <row r="99" s="76" customFormat="1">
      <c r="A99" s="77" t="s">
        <v>36</v>
      </c>
      <c r="B99" s="76" t="s">
        <v>144</v>
      </c>
      <c r="C99" s="76" t="s">
        <v>530</v>
      </c>
      <c r="D99" s="177" t="s">
        <v>423</v>
      </c>
      <c r="E99" s="177" t="s">
        <v>424</v>
      </c>
      <c r="F99" s="76" t="s">
        <v>181</v>
      </c>
      <c r="H99" s="76" t="s">
        <v>315</v>
      </c>
      <c r="I99" s="76" t="s">
        <v>395</v>
      </c>
      <c r="J99" s="76" t="s">
        <v>300</v>
      </c>
      <c r="O99" s="76" t="s">
        <v>400</v>
      </c>
      <c r="P99" s="76" t="s">
        <v>401</v>
      </c>
      <c r="Q99" s="76" t="s">
        <v>397</v>
      </c>
      <c r="R99" s="77"/>
      <c r="T99" s="99" t="s">
        <v>174</v>
      </c>
      <c r="W99" s="86">
        <v>5.7000000000000002</v>
      </c>
      <c r="Y99" s="84">
        <f t="shared" si="56"/>
        <v>35.759999999999998</v>
      </c>
      <c r="Z99" s="84">
        <f t="shared" si="57"/>
        <v>34.560000000000002</v>
      </c>
      <c r="AA99" s="84"/>
      <c r="AB99" s="84"/>
      <c r="AC99" s="84">
        <f t="shared" si="58"/>
        <v>64.320000000000007</v>
      </c>
      <c r="AD99" s="84">
        <f t="shared" si="59"/>
        <v>32.160000000000004</v>
      </c>
      <c r="AE99" s="84"/>
      <c r="AF99" s="84"/>
      <c r="AG99" s="84">
        <f t="shared" si="60"/>
        <v>160.56</v>
      </c>
      <c r="AH99" s="84">
        <f t="shared" si="61"/>
        <v>28.560000000000002</v>
      </c>
      <c r="AI99" s="84"/>
      <c r="AJ99" s="84"/>
      <c r="AK99" s="84">
        <f t="shared" si="62"/>
        <v>235.19999999999999</v>
      </c>
      <c r="AL99" s="84">
        <f t="shared" si="63"/>
        <v>29.039999999999999</v>
      </c>
      <c r="BM99" s="84">
        <v>14.9</v>
      </c>
      <c r="BN99" s="84">
        <v>14.4</v>
      </c>
      <c r="BO99" s="84" t="s">
        <v>175</v>
      </c>
      <c r="BQ99" s="84">
        <v>26.800000000000001</v>
      </c>
      <c r="BR99" s="84">
        <v>13.4</v>
      </c>
      <c r="BS99" s="84" t="s">
        <v>175</v>
      </c>
      <c r="BT99" s="84"/>
      <c r="BU99" s="84">
        <v>66.900000000000006</v>
      </c>
      <c r="BV99" s="84">
        <v>11.9</v>
      </c>
      <c r="BW99" s="84" t="s">
        <v>175</v>
      </c>
      <c r="BX99" s="84"/>
      <c r="BY99" s="84">
        <v>98</v>
      </c>
      <c r="BZ99" s="84">
        <v>12.1</v>
      </c>
      <c r="CA99" s="84" t="s">
        <v>175</v>
      </c>
      <c r="CB99" s="84"/>
      <c r="CC99" s="84">
        <v>140</v>
      </c>
      <c r="CD99" s="84">
        <v>140</v>
      </c>
      <c r="CE99" s="84">
        <v>140</v>
      </c>
      <c r="CF99" s="84">
        <v>140</v>
      </c>
      <c r="CG99" s="84">
        <v>140</v>
      </c>
      <c r="CH99" s="84">
        <v>140</v>
      </c>
      <c r="CI99" s="84">
        <v>140</v>
      </c>
      <c r="CJ99" s="84">
        <v>140</v>
      </c>
    </row>
    <row r="100" s="76" customFormat="1">
      <c r="A100" s="77" t="s">
        <v>36</v>
      </c>
      <c r="B100" s="76" t="s">
        <v>144</v>
      </c>
      <c r="C100" s="76" t="s">
        <v>531</v>
      </c>
      <c r="D100" s="177" t="s">
        <v>423</v>
      </c>
      <c r="E100" s="177" t="s">
        <v>424</v>
      </c>
      <c r="F100" s="76" t="s">
        <v>181</v>
      </c>
      <c r="H100" s="76" t="s">
        <v>315</v>
      </c>
      <c r="I100" s="76" t="s">
        <v>395</v>
      </c>
      <c r="J100" s="76" t="s">
        <v>300</v>
      </c>
      <c r="O100" s="76" t="s">
        <v>404</v>
      </c>
      <c r="P100" s="76" t="s">
        <v>401</v>
      </c>
      <c r="Q100" s="76" t="s">
        <v>401</v>
      </c>
      <c r="R100" s="77"/>
      <c r="T100" s="99" t="s">
        <v>174</v>
      </c>
      <c r="W100" s="86">
        <v>5.7000000000000002</v>
      </c>
      <c r="Y100" s="84">
        <f t="shared" si="56"/>
        <v>42</v>
      </c>
      <c r="Z100" s="84">
        <f t="shared" si="57"/>
        <v>47.040000000000006</v>
      </c>
      <c r="AA100" s="84"/>
      <c r="AB100" s="84"/>
      <c r="AC100" s="84">
        <f t="shared" si="58"/>
        <v>79.200000000000003</v>
      </c>
      <c r="AD100" s="84">
        <f t="shared" si="59"/>
        <v>41.759999999999998</v>
      </c>
      <c r="AE100" s="84"/>
      <c r="AF100" s="84"/>
      <c r="AG100" s="84">
        <f t="shared" si="60"/>
        <v>203.03999999999999</v>
      </c>
      <c r="AH100" s="84">
        <f t="shared" si="61"/>
        <v>36.960000000000001</v>
      </c>
      <c r="AI100" s="84"/>
      <c r="AJ100" s="84"/>
      <c r="AK100" s="84">
        <f t="shared" si="62"/>
        <v>310.07999999999998</v>
      </c>
      <c r="AL100" s="84">
        <f t="shared" si="63"/>
        <v>36.240000000000002</v>
      </c>
      <c r="BM100" s="84">
        <v>17.5</v>
      </c>
      <c r="BN100" s="84">
        <v>19.600000000000001</v>
      </c>
      <c r="BO100" s="84" t="s">
        <v>175</v>
      </c>
      <c r="BQ100" s="84">
        <v>33</v>
      </c>
      <c r="BR100" s="84">
        <v>17.399999999999999</v>
      </c>
      <c r="BS100" s="84" t="s">
        <v>175</v>
      </c>
      <c r="BT100" s="84"/>
      <c r="BU100" s="84">
        <v>84.599999999999994</v>
      </c>
      <c r="BV100" s="84">
        <v>15.4</v>
      </c>
      <c r="BW100" s="84" t="s">
        <v>175</v>
      </c>
      <c r="BX100" s="84"/>
      <c r="BY100" s="84">
        <v>129.19999999999999</v>
      </c>
      <c r="BZ100" s="84">
        <v>15.1</v>
      </c>
      <c r="CA100" s="84" t="s">
        <v>175</v>
      </c>
      <c r="CB100" s="84"/>
      <c r="CC100" s="84">
        <v>140</v>
      </c>
      <c r="CD100" s="84">
        <v>140</v>
      </c>
      <c r="CE100" s="84">
        <v>140</v>
      </c>
      <c r="CF100" s="84">
        <v>140</v>
      </c>
      <c r="CG100" s="84">
        <v>140</v>
      </c>
      <c r="CH100" s="84">
        <v>140</v>
      </c>
      <c r="CI100" s="84">
        <v>140</v>
      </c>
      <c r="CJ100" s="84">
        <v>140</v>
      </c>
    </row>
    <row r="101">
      <c r="A101" s="57" t="s">
        <v>37</v>
      </c>
      <c r="B101" s="51" t="s">
        <v>145</v>
      </c>
      <c r="C101" s="51" t="s">
        <v>532</v>
      </c>
      <c r="D101" s="161" t="s">
        <v>533</v>
      </c>
      <c r="E101" s="161" t="s">
        <v>534</v>
      </c>
      <c r="F101" s="51" t="s">
        <v>181</v>
      </c>
      <c r="H101" s="51" t="s">
        <v>315</v>
      </c>
      <c r="I101" s="51" t="s">
        <v>167</v>
      </c>
      <c r="J101" s="51" t="s">
        <v>183</v>
      </c>
      <c r="K101" s="51" t="s">
        <v>301</v>
      </c>
      <c r="O101" s="51" t="s">
        <v>408</v>
      </c>
      <c r="P101" s="51" t="s">
        <v>171</v>
      </c>
      <c r="Q101" s="51" t="s">
        <v>171</v>
      </c>
      <c r="T101" s="106" t="s">
        <v>174</v>
      </c>
      <c r="W101" s="64">
        <v>8.5</v>
      </c>
      <c r="Y101" s="62">
        <f t="shared" si="56"/>
        <v>61.440000000000005</v>
      </c>
      <c r="Z101" s="62">
        <f t="shared" si="57"/>
        <v>51.120000000000005</v>
      </c>
      <c r="AA101" s="62"/>
      <c r="AB101" s="62"/>
      <c r="AC101" s="62">
        <f t="shared" si="58"/>
        <v>84.719999999999999</v>
      </c>
      <c r="AD101" s="62">
        <f t="shared" si="59"/>
        <v>42.959999999999994</v>
      </c>
      <c r="AE101" s="62"/>
      <c r="AF101" s="62"/>
      <c r="AG101" s="62">
        <f t="shared" si="60"/>
        <v>167.51999999999998</v>
      </c>
      <c r="AH101" s="62">
        <f t="shared" si="61"/>
        <v>38.160000000000004</v>
      </c>
      <c r="AI101" s="62"/>
      <c r="AJ101" s="62"/>
      <c r="AK101" s="62">
        <f t="shared" si="62"/>
        <v>368.63999999999999</v>
      </c>
      <c r="AL101" s="62">
        <f t="shared" si="63"/>
        <v>37.200000000000003</v>
      </c>
      <c r="BM101" s="62">
        <v>25.600000000000001</v>
      </c>
      <c r="BN101" s="62">
        <v>21.300000000000001</v>
      </c>
      <c r="BO101" s="62" t="s">
        <v>175</v>
      </c>
      <c r="BQ101" s="62">
        <v>35.299999999999997</v>
      </c>
      <c r="BR101" s="62">
        <v>17.899999999999999</v>
      </c>
      <c r="BS101" s="62" t="s">
        <v>175</v>
      </c>
      <c r="BT101" s="62"/>
      <c r="BU101" s="62">
        <v>69.799999999999997</v>
      </c>
      <c r="BV101" s="62">
        <v>15.9</v>
      </c>
      <c r="BW101" s="62" t="s">
        <v>175</v>
      </c>
      <c r="BX101" s="62"/>
      <c r="BY101" s="62">
        <v>153.59999999999999</v>
      </c>
      <c r="BZ101" s="62">
        <v>15.5</v>
      </c>
      <c r="CA101" s="62" t="s">
        <v>175</v>
      </c>
      <c r="CB101" s="62"/>
      <c r="CC101" s="62">
        <v>140</v>
      </c>
      <c r="CD101" s="62">
        <v>140</v>
      </c>
      <c r="CE101" s="62">
        <v>140</v>
      </c>
      <c r="CF101" s="62">
        <v>140</v>
      </c>
      <c r="CG101" s="62">
        <v>140</v>
      </c>
      <c r="CH101" s="62">
        <v>140</v>
      </c>
      <c r="CI101" s="62">
        <v>140</v>
      </c>
      <c r="CJ101" s="62">
        <v>140</v>
      </c>
    </row>
    <row r="102">
      <c r="A102" s="57" t="s">
        <v>37</v>
      </c>
      <c r="B102" s="51" t="s">
        <v>145</v>
      </c>
      <c r="C102" s="51" t="s">
        <v>535</v>
      </c>
      <c r="D102" s="161" t="s">
        <v>533</v>
      </c>
      <c r="E102" s="161" t="s">
        <v>534</v>
      </c>
      <c r="F102" s="51" t="s">
        <v>181</v>
      </c>
      <c r="H102" s="51" t="s">
        <v>315</v>
      </c>
      <c r="I102" s="51" t="s">
        <v>167</v>
      </c>
      <c r="J102" s="51" t="s">
        <v>183</v>
      </c>
      <c r="K102" s="51" t="s">
        <v>442</v>
      </c>
      <c r="O102" s="51" t="s">
        <v>408</v>
      </c>
      <c r="P102" s="51" t="s">
        <v>171</v>
      </c>
      <c r="Q102" s="51" t="s">
        <v>171</v>
      </c>
      <c r="T102" s="106" t="s">
        <v>174</v>
      </c>
      <c r="W102" s="64">
        <v>8.5</v>
      </c>
      <c r="Y102" s="62">
        <f t="shared" ref="Y102:Y165" si="64">AO102+(AO102*BE102/100)+BM102+(BM102*CC102/100)</f>
        <v>61.440000000000005</v>
      </c>
      <c r="Z102" s="62">
        <f t="shared" ref="Z102:Z165" si="65">AP102+(AP102*BF102/100)+BN102+(BN102*CD102/100)</f>
        <v>51.120000000000005</v>
      </c>
      <c r="AA102" s="62"/>
      <c r="AB102" s="62"/>
      <c r="AC102" s="62">
        <f t="shared" ref="AC102:AC165" si="66">AS102+(AS102*BG102/100)+BQ102+(BQ102*CE102/100)</f>
        <v>84.719999999999999</v>
      </c>
      <c r="AD102" s="62">
        <f t="shared" ref="AD102:AD165" si="67">AT102+(AT102*BH102/100)+BR102+(BR102*CF102/100)</f>
        <v>42.959999999999994</v>
      </c>
      <c r="AE102" s="62"/>
      <c r="AF102" s="62"/>
      <c r="AG102" s="62">
        <f t="shared" ref="AG102:AG165" si="68">AW102+(AW102*BI102/100)+BU102+(BU102*CG102/100)</f>
        <v>167.51999999999998</v>
      </c>
      <c r="AH102" s="62">
        <f t="shared" ref="AH102:AH165" si="69">AX102+(AX102*BJ102/100)+BV102+(BV102*CH102/100)</f>
        <v>38.160000000000004</v>
      </c>
      <c r="AI102" s="62"/>
      <c r="AJ102" s="62"/>
      <c r="AK102" s="62">
        <f t="shared" ref="AK102:AK165" si="70">BA102+(BA102*BK102/100)+BY102+(BY102*CI102/100)</f>
        <v>368.63999999999999</v>
      </c>
      <c r="AL102" s="62">
        <f t="shared" ref="AL102:AL165" si="71">BB102+(BB102*BL102/100)+BZ102+(BZ102*CJ102/100)</f>
        <v>37.200000000000003</v>
      </c>
      <c r="BM102" s="62">
        <v>25.600000000000001</v>
      </c>
      <c r="BN102" s="62">
        <v>21.300000000000001</v>
      </c>
      <c r="BO102" s="62" t="s">
        <v>175</v>
      </c>
      <c r="BQ102" s="62">
        <v>35.299999999999997</v>
      </c>
      <c r="BR102" s="62">
        <v>17.899999999999999</v>
      </c>
      <c r="BS102" s="62" t="s">
        <v>175</v>
      </c>
      <c r="BT102" s="62"/>
      <c r="BU102" s="62">
        <v>69.799999999999997</v>
      </c>
      <c r="BV102" s="62">
        <v>15.9</v>
      </c>
      <c r="BW102" s="62" t="s">
        <v>175</v>
      </c>
      <c r="BX102" s="62"/>
      <c r="BY102" s="62">
        <v>153.59999999999999</v>
      </c>
      <c r="BZ102" s="62">
        <v>15.5</v>
      </c>
      <c r="CA102" s="62" t="s">
        <v>175</v>
      </c>
      <c r="CB102" s="62"/>
      <c r="CC102" s="62">
        <v>140</v>
      </c>
      <c r="CD102" s="62">
        <v>140</v>
      </c>
      <c r="CE102" s="62">
        <v>140</v>
      </c>
      <c r="CF102" s="62">
        <v>140</v>
      </c>
      <c r="CG102" s="62">
        <v>140</v>
      </c>
      <c r="CH102" s="62">
        <v>140</v>
      </c>
      <c r="CI102" s="62">
        <v>140</v>
      </c>
      <c r="CJ102" s="62">
        <v>140</v>
      </c>
    </row>
    <row r="103">
      <c r="A103" s="57" t="s">
        <v>37</v>
      </c>
      <c r="B103" s="51" t="s">
        <v>145</v>
      </c>
      <c r="C103" s="51" t="s">
        <v>536</v>
      </c>
      <c r="D103" s="161" t="s">
        <v>533</v>
      </c>
      <c r="E103" s="161" t="s">
        <v>534</v>
      </c>
      <c r="F103" s="51" t="s">
        <v>181</v>
      </c>
      <c r="H103" s="51" t="s">
        <v>315</v>
      </c>
      <c r="I103" s="51" t="s">
        <v>167</v>
      </c>
      <c r="J103" s="51" t="s">
        <v>168</v>
      </c>
      <c r="K103" s="51" t="s">
        <v>301</v>
      </c>
      <c r="O103" s="51" t="s">
        <v>408</v>
      </c>
      <c r="P103" s="51" t="s">
        <v>171</v>
      </c>
      <c r="Q103" s="51" t="s">
        <v>171</v>
      </c>
      <c r="T103" s="106" t="s">
        <v>174</v>
      </c>
      <c r="W103" s="64">
        <v>10.699999999999999</v>
      </c>
      <c r="Y103" s="62">
        <f t="shared" si="64"/>
        <v>71.519999999999996</v>
      </c>
      <c r="Z103" s="62">
        <f t="shared" si="65"/>
        <v>60.960000000000001</v>
      </c>
      <c r="AA103" s="62"/>
      <c r="AB103" s="62"/>
      <c r="AC103" s="62">
        <f t="shared" si="66"/>
        <v>95.759999999999991</v>
      </c>
      <c r="AD103" s="62">
        <f t="shared" si="67"/>
        <v>54.960000000000001</v>
      </c>
      <c r="AE103" s="62"/>
      <c r="AF103" s="62"/>
      <c r="AG103" s="62">
        <f t="shared" si="68"/>
        <v>210</v>
      </c>
      <c r="AH103" s="62">
        <f t="shared" si="69"/>
        <v>48.719999999999999</v>
      </c>
      <c r="AI103" s="62"/>
      <c r="AJ103" s="62"/>
      <c r="AK103" s="62">
        <f t="shared" si="70"/>
        <v>443.75999999999999</v>
      </c>
      <c r="AL103" s="62">
        <f t="shared" si="71"/>
        <v>47.519999999999996</v>
      </c>
      <c r="BM103" s="62">
        <v>29.800000000000001</v>
      </c>
      <c r="BN103" s="62">
        <v>25.399999999999999</v>
      </c>
      <c r="BO103" s="62" t="s">
        <v>175</v>
      </c>
      <c r="BQ103" s="62">
        <v>39.899999999999999</v>
      </c>
      <c r="BR103" s="62">
        <v>22.899999999999999</v>
      </c>
      <c r="BS103" s="62" t="s">
        <v>175</v>
      </c>
      <c r="BT103" s="62"/>
      <c r="BU103" s="62">
        <v>87.5</v>
      </c>
      <c r="BV103" s="62">
        <v>20.300000000000001</v>
      </c>
      <c r="BW103" s="62" t="s">
        <v>175</v>
      </c>
      <c r="BX103" s="62"/>
      <c r="BY103" s="62">
        <v>184.90000000000001</v>
      </c>
      <c r="BZ103" s="62">
        <v>19.800000000000001</v>
      </c>
      <c r="CA103" s="62" t="s">
        <v>175</v>
      </c>
      <c r="CB103" s="62"/>
      <c r="CC103" s="62">
        <v>140</v>
      </c>
      <c r="CD103" s="62">
        <v>140</v>
      </c>
      <c r="CE103" s="62">
        <v>140</v>
      </c>
      <c r="CF103" s="62">
        <v>140</v>
      </c>
      <c r="CG103" s="62">
        <v>140</v>
      </c>
      <c r="CH103" s="62">
        <v>140</v>
      </c>
      <c r="CI103" s="62">
        <v>140</v>
      </c>
      <c r="CJ103" s="62">
        <v>140</v>
      </c>
    </row>
    <row r="104">
      <c r="A104" s="57" t="s">
        <v>37</v>
      </c>
      <c r="B104" s="51" t="s">
        <v>145</v>
      </c>
      <c r="C104" s="51" t="s">
        <v>537</v>
      </c>
      <c r="D104" s="161" t="s">
        <v>533</v>
      </c>
      <c r="E104" s="161" t="s">
        <v>534</v>
      </c>
      <c r="F104" s="51" t="s">
        <v>181</v>
      </c>
      <c r="H104" s="51" t="s">
        <v>315</v>
      </c>
      <c r="I104" s="51" t="s">
        <v>167</v>
      </c>
      <c r="J104" s="51" t="s">
        <v>168</v>
      </c>
      <c r="K104" s="51" t="s">
        <v>442</v>
      </c>
      <c r="O104" s="51" t="s">
        <v>408</v>
      </c>
      <c r="P104" s="51" t="s">
        <v>171</v>
      </c>
      <c r="Q104" s="51" t="s">
        <v>171</v>
      </c>
      <c r="T104" s="106" t="s">
        <v>174</v>
      </c>
      <c r="W104" s="64">
        <v>10.699999999999999</v>
      </c>
      <c r="Y104" s="62">
        <f t="shared" si="64"/>
        <v>71.519999999999996</v>
      </c>
      <c r="Z104" s="62">
        <f t="shared" si="65"/>
        <v>60.960000000000001</v>
      </c>
      <c r="AA104" s="62"/>
      <c r="AB104" s="62"/>
      <c r="AC104" s="62">
        <f t="shared" si="66"/>
        <v>95.759999999999991</v>
      </c>
      <c r="AD104" s="62">
        <f t="shared" si="67"/>
        <v>54.960000000000001</v>
      </c>
      <c r="AE104" s="62"/>
      <c r="AF104" s="62"/>
      <c r="AG104" s="62">
        <f t="shared" si="68"/>
        <v>210</v>
      </c>
      <c r="AH104" s="62">
        <f t="shared" si="69"/>
        <v>48.719999999999999</v>
      </c>
      <c r="AI104" s="62"/>
      <c r="AJ104" s="62"/>
      <c r="AK104" s="62">
        <f t="shared" si="70"/>
        <v>443.75999999999999</v>
      </c>
      <c r="AL104" s="62">
        <f t="shared" si="71"/>
        <v>47.519999999999996</v>
      </c>
      <c r="BM104" s="62">
        <v>29.800000000000001</v>
      </c>
      <c r="BN104" s="62">
        <v>25.399999999999999</v>
      </c>
      <c r="BO104" s="62" t="s">
        <v>175</v>
      </c>
      <c r="BQ104" s="62">
        <v>39.899999999999999</v>
      </c>
      <c r="BR104" s="62">
        <v>22.899999999999999</v>
      </c>
      <c r="BS104" s="62" t="s">
        <v>175</v>
      </c>
      <c r="BT104" s="62"/>
      <c r="BU104" s="62">
        <v>87.5</v>
      </c>
      <c r="BV104" s="62">
        <v>20.300000000000001</v>
      </c>
      <c r="BW104" s="62" t="s">
        <v>175</v>
      </c>
      <c r="BX104" s="62"/>
      <c r="BY104" s="62">
        <v>184.90000000000001</v>
      </c>
      <c r="BZ104" s="62">
        <v>19.800000000000001</v>
      </c>
      <c r="CA104" s="62" t="s">
        <v>175</v>
      </c>
      <c r="CB104" s="62"/>
      <c r="CC104" s="62">
        <v>140</v>
      </c>
      <c r="CD104" s="62">
        <v>140</v>
      </c>
      <c r="CE104" s="62">
        <v>140</v>
      </c>
      <c r="CF104" s="62">
        <v>140</v>
      </c>
      <c r="CG104" s="62">
        <v>140</v>
      </c>
      <c r="CH104" s="62">
        <v>140</v>
      </c>
      <c r="CI104" s="62">
        <v>140</v>
      </c>
      <c r="CJ104" s="62">
        <v>140</v>
      </c>
    </row>
    <row r="105">
      <c r="A105" s="57" t="s">
        <v>37</v>
      </c>
      <c r="B105" s="51" t="s">
        <v>145</v>
      </c>
      <c r="C105" s="51" t="s">
        <v>538</v>
      </c>
      <c r="D105" s="161" t="s">
        <v>533</v>
      </c>
      <c r="E105" s="161" t="s">
        <v>534</v>
      </c>
      <c r="F105" s="51" t="s">
        <v>181</v>
      </c>
      <c r="H105" s="51" t="s">
        <v>315</v>
      </c>
      <c r="I105" s="51" t="s">
        <v>167</v>
      </c>
      <c r="J105" s="51" t="s">
        <v>177</v>
      </c>
      <c r="K105" s="51" t="s">
        <v>301</v>
      </c>
      <c r="O105" s="51" t="s">
        <v>408</v>
      </c>
      <c r="P105" s="51" t="s">
        <v>171</v>
      </c>
      <c r="Q105" s="51" t="s">
        <v>171</v>
      </c>
      <c r="T105" s="106" t="s">
        <v>174</v>
      </c>
      <c r="W105" s="64">
        <v>15.699999999999999</v>
      </c>
      <c r="Y105" s="62">
        <f t="shared" si="64"/>
        <v>84</v>
      </c>
      <c r="Z105" s="62">
        <f t="shared" si="65"/>
        <v>80.159999999999997</v>
      </c>
      <c r="AA105" s="62"/>
      <c r="AB105" s="62"/>
      <c r="AC105" s="62">
        <f t="shared" si="66"/>
        <v>146.16</v>
      </c>
      <c r="AD105" s="62">
        <f t="shared" si="67"/>
        <v>69.599999999999994</v>
      </c>
      <c r="AE105" s="62"/>
      <c r="AF105" s="62"/>
      <c r="AG105" s="62">
        <f t="shared" si="68"/>
        <v>274.07999999999998</v>
      </c>
      <c r="AH105" s="62">
        <f t="shared" si="69"/>
        <v>67.200000000000003</v>
      </c>
      <c r="AI105" s="62"/>
      <c r="AJ105" s="62"/>
      <c r="AK105" s="62">
        <f t="shared" si="70"/>
        <v>722.6400000000001</v>
      </c>
      <c r="AL105" s="62">
        <f t="shared" si="71"/>
        <v>62.879999999999995</v>
      </c>
      <c r="BM105" s="62">
        <v>35</v>
      </c>
      <c r="BN105" s="62">
        <v>33.399999999999999</v>
      </c>
      <c r="BO105" s="62" t="s">
        <v>175</v>
      </c>
      <c r="BQ105" s="62">
        <v>60.899999999999999</v>
      </c>
      <c r="BR105" s="62">
        <v>29</v>
      </c>
      <c r="BS105" s="62" t="s">
        <v>175</v>
      </c>
      <c r="BU105" s="62">
        <v>114.2</v>
      </c>
      <c r="BV105" s="62">
        <v>28</v>
      </c>
      <c r="BW105" s="62" t="s">
        <v>175</v>
      </c>
      <c r="BY105" s="62">
        <v>301.10000000000002</v>
      </c>
      <c r="BZ105" s="62">
        <v>26.199999999999999</v>
      </c>
      <c r="CA105" s="62" t="s">
        <v>175</v>
      </c>
      <c r="CC105" s="62">
        <v>140</v>
      </c>
      <c r="CD105" s="62">
        <v>140</v>
      </c>
      <c r="CE105" s="62">
        <v>140</v>
      </c>
      <c r="CF105" s="62">
        <v>140</v>
      </c>
      <c r="CG105" s="62">
        <v>140</v>
      </c>
      <c r="CH105" s="62">
        <v>140</v>
      </c>
      <c r="CI105" s="62">
        <v>140</v>
      </c>
      <c r="CJ105" s="62">
        <v>140</v>
      </c>
    </row>
    <row r="106">
      <c r="A106" s="57" t="s">
        <v>37</v>
      </c>
      <c r="B106" s="51" t="s">
        <v>145</v>
      </c>
      <c r="C106" s="51" t="s">
        <v>539</v>
      </c>
      <c r="D106" s="161" t="s">
        <v>533</v>
      </c>
      <c r="E106" s="161" t="s">
        <v>534</v>
      </c>
      <c r="F106" s="51" t="s">
        <v>181</v>
      </c>
      <c r="H106" s="51" t="s">
        <v>315</v>
      </c>
      <c r="I106" s="51" t="s">
        <v>167</v>
      </c>
      <c r="J106" s="51" t="s">
        <v>177</v>
      </c>
      <c r="K106" s="51" t="s">
        <v>442</v>
      </c>
      <c r="O106" s="51" t="s">
        <v>408</v>
      </c>
      <c r="P106" s="51" t="s">
        <v>171</v>
      </c>
      <c r="Q106" s="51" t="s">
        <v>171</v>
      </c>
      <c r="T106" s="106" t="s">
        <v>174</v>
      </c>
      <c r="W106" s="64">
        <v>15.699999999999999</v>
      </c>
      <c r="Y106" s="62">
        <f t="shared" si="64"/>
        <v>84</v>
      </c>
      <c r="Z106" s="62">
        <f t="shared" si="65"/>
        <v>80.159999999999997</v>
      </c>
      <c r="AA106" s="62"/>
      <c r="AB106" s="62"/>
      <c r="AC106" s="62">
        <f t="shared" si="66"/>
        <v>146.16</v>
      </c>
      <c r="AD106" s="62">
        <f t="shared" si="67"/>
        <v>69.599999999999994</v>
      </c>
      <c r="AE106" s="62"/>
      <c r="AF106" s="62"/>
      <c r="AG106" s="62">
        <f t="shared" si="68"/>
        <v>274.07999999999998</v>
      </c>
      <c r="AH106" s="62">
        <f t="shared" si="69"/>
        <v>67.200000000000003</v>
      </c>
      <c r="AI106" s="62"/>
      <c r="AJ106" s="62"/>
      <c r="AK106" s="62">
        <f t="shared" si="70"/>
        <v>722.6400000000001</v>
      </c>
      <c r="AL106" s="62">
        <f t="shared" si="71"/>
        <v>62.879999999999995</v>
      </c>
      <c r="BM106" s="62">
        <v>35</v>
      </c>
      <c r="BN106" s="62">
        <v>33.399999999999999</v>
      </c>
      <c r="BO106" s="62" t="s">
        <v>175</v>
      </c>
      <c r="BQ106" s="62">
        <v>60.899999999999999</v>
      </c>
      <c r="BR106" s="62">
        <v>29</v>
      </c>
      <c r="BS106" s="62" t="s">
        <v>175</v>
      </c>
      <c r="BU106" s="62">
        <v>114.2</v>
      </c>
      <c r="BV106" s="62">
        <v>28</v>
      </c>
      <c r="BW106" s="62" t="s">
        <v>175</v>
      </c>
      <c r="BY106" s="62">
        <v>301.10000000000002</v>
      </c>
      <c r="BZ106" s="62">
        <v>26.199999999999999</v>
      </c>
      <c r="CA106" s="62" t="s">
        <v>175</v>
      </c>
      <c r="CC106" s="62">
        <v>140</v>
      </c>
      <c r="CD106" s="62">
        <v>140</v>
      </c>
      <c r="CE106" s="62">
        <v>140</v>
      </c>
      <c r="CF106" s="62">
        <v>140</v>
      </c>
      <c r="CG106" s="62">
        <v>140</v>
      </c>
      <c r="CH106" s="62">
        <v>140</v>
      </c>
      <c r="CI106" s="62">
        <v>140</v>
      </c>
      <c r="CJ106" s="62">
        <v>140</v>
      </c>
    </row>
    <row r="107" s="76" customFormat="1">
      <c r="A107" s="77" t="s">
        <v>37</v>
      </c>
      <c r="B107" s="76" t="s">
        <v>145</v>
      </c>
      <c r="C107" s="76" t="s">
        <v>540</v>
      </c>
      <c r="D107" s="161" t="s">
        <v>533</v>
      </c>
      <c r="E107" s="161" t="s">
        <v>534</v>
      </c>
      <c r="F107" s="76" t="s">
        <v>181</v>
      </c>
      <c r="G107" s="76" t="s">
        <v>285</v>
      </c>
      <c r="H107" s="76" t="s">
        <v>166</v>
      </c>
      <c r="I107" s="76" t="s">
        <v>167</v>
      </c>
      <c r="J107" s="76" t="s">
        <v>300</v>
      </c>
      <c r="K107" s="76" t="s">
        <v>301</v>
      </c>
      <c r="O107" s="76" t="s">
        <v>408</v>
      </c>
      <c r="P107" s="76" t="s">
        <v>171</v>
      </c>
      <c r="Q107" s="76" t="s">
        <v>171</v>
      </c>
      <c r="R107" s="77" t="s">
        <v>541</v>
      </c>
      <c r="T107" s="99" t="s">
        <v>174</v>
      </c>
      <c r="W107" s="86">
        <v>11.300000000000001</v>
      </c>
      <c r="Y107" s="84">
        <f t="shared" si="64"/>
        <v>135.59999999999999</v>
      </c>
      <c r="Z107" s="84">
        <f t="shared" si="65"/>
        <v>86.400000000000006</v>
      </c>
      <c r="AA107" s="84"/>
      <c r="AB107" s="84"/>
      <c r="AC107" s="84">
        <f t="shared" si="66"/>
        <v>183.59999999999999</v>
      </c>
      <c r="AD107" s="84">
        <f t="shared" si="67"/>
        <v>75.840000000000003</v>
      </c>
      <c r="AE107" s="84"/>
      <c r="AF107" s="84"/>
      <c r="AG107" s="84">
        <f t="shared" si="68"/>
        <v>271.92000000000002</v>
      </c>
      <c r="AH107" s="84">
        <f t="shared" si="69"/>
        <v>73.679999999999993</v>
      </c>
      <c r="AI107" s="84"/>
      <c r="AJ107" s="84"/>
      <c r="AK107" s="84">
        <f t="shared" si="70"/>
        <v>647.03999999999996</v>
      </c>
      <c r="AL107" s="84">
        <f t="shared" si="71"/>
        <v>73.679999999999993</v>
      </c>
      <c r="BM107" s="84">
        <v>56.5</v>
      </c>
      <c r="BN107" s="84">
        <v>36</v>
      </c>
      <c r="BO107" s="84" t="s">
        <v>175</v>
      </c>
      <c r="BQ107" s="84">
        <v>76.5</v>
      </c>
      <c r="BR107" s="84">
        <v>31.600000000000001</v>
      </c>
      <c r="BS107" s="84" t="s">
        <v>175</v>
      </c>
      <c r="BT107" s="84"/>
      <c r="BU107" s="84">
        <v>113.3</v>
      </c>
      <c r="BV107" s="84">
        <v>30.699999999999999</v>
      </c>
      <c r="BW107" s="84" t="s">
        <v>175</v>
      </c>
      <c r="BX107" s="84"/>
      <c r="BY107" s="84">
        <v>269.60000000000002</v>
      </c>
      <c r="BZ107" s="84">
        <v>30.699999999999999</v>
      </c>
      <c r="CA107" s="84" t="s">
        <v>175</v>
      </c>
      <c r="CB107" s="84"/>
      <c r="CC107" s="84">
        <v>140</v>
      </c>
      <c r="CD107" s="84">
        <v>140</v>
      </c>
      <c r="CE107" s="84">
        <v>140</v>
      </c>
      <c r="CF107" s="84">
        <v>140</v>
      </c>
      <c r="CG107" s="84">
        <v>140</v>
      </c>
      <c r="CH107" s="84">
        <v>140</v>
      </c>
      <c r="CI107" s="84">
        <v>140</v>
      </c>
      <c r="CJ107" s="84">
        <v>140</v>
      </c>
    </row>
    <row r="108" s="76" customFormat="1">
      <c r="A108" s="77" t="s">
        <v>37</v>
      </c>
      <c r="B108" s="76" t="s">
        <v>145</v>
      </c>
      <c r="C108" s="76" t="s">
        <v>542</v>
      </c>
      <c r="D108" s="161" t="s">
        <v>533</v>
      </c>
      <c r="E108" s="161" t="s">
        <v>534</v>
      </c>
      <c r="F108" s="76" t="s">
        <v>181</v>
      </c>
      <c r="G108" s="76" t="s">
        <v>285</v>
      </c>
      <c r="H108" s="76" t="s">
        <v>166</v>
      </c>
      <c r="I108" s="76" t="s">
        <v>167</v>
      </c>
      <c r="J108" s="76" t="s">
        <v>300</v>
      </c>
      <c r="K108" s="76" t="s">
        <v>442</v>
      </c>
      <c r="O108" s="76" t="s">
        <v>408</v>
      </c>
      <c r="P108" s="76" t="s">
        <v>171</v>
      </c>
      <c r="Q108" s="76" t="s">
        <v>171</v>
      </c>
      <c r="R108" s="77" t="s">
        <v>541</v>
      </c>
      <c r="T108" s="99" t="s">
        <v>174</v>
      </c>
      <c r="W108" s="86">
        <v>11.300000000000001</v>
      </c>
      <c r="Y108" s="84">
        <f t="shared" si="64"/>
        <v>135.59999999999999</v>
      </c>
      <c r="Z108" s="84">
        <f t="shared" si="65"/>
        <v>86.400000000000006</v>
      </c>
      <c r="AA108" s="84"/>
      <c r="AB108" s="84"/>
      <c r="AC108" s="84">
        <f t="shared" si="66"/>
        <v>183.59999999999999</v>
      </c>
      <c r="AD108" s="84">
        <f t="shared" si="67"/>
        <v>75.840000000000003</v>
      </c>
      <c r="AE108" s="84"/>
      <c r="AF108" s="84"/>
      <c r="AG108" s="84">
        <f t="shared" si="68"/>
        <v>271.92000000000002</v>
      </c>
      <c r="AH108" s="84">
        <f t="shared" si="69"/>
        <v>73.679999999999993</v>
      </c>
      <c r="AI108" s="84"/>
      <c r="AJ108" s="84"/>
      <c r="AK108" s="84">
        <f t="shared" si="70"/>
        <v>647.03999999999996</v>
      </c>
      <c r="AL108" s="84">
        <f t="shared" si="71"/>
        <v>73.679999999999993</v>
      </c>
      <c r="BM108" s="84">
        <v>56.5</v>
      </c>
      <c r="BN108" s="84">
        <v>36</v>
      </c>
      <c r="BO108" s="84" t="s">
        <v>175</v>
      </c>
      <c r="BQ108" s="84">
        <v>76.5</v>
      </c>
      <c r="BR108" s="84">
        <v>31.600000000000001</v>
      </c>
      <c r="BS108" s="84" t="s">
        <v>175</v>
      </c>
      <c r="BT108" s="84"/>
      <c r="BU108" s="84">
        <v>113.3</v>
      </c>
      <c r="BV108" s="84">
        <v>30.699999999999999</v>
      </c>
      <c r="BW108" s="84" t="s">
        <v>175</v>
      </c>
      <c r="BX108" s="84"/>
      <c r="BY108" s="84">
        <v>269.60000000000002</v>
      </c>
      <c r="BZ108" s="84">
        <v>30.699999999999999</v>
      </c>
      <c r="CA108" s="84" t="s">
        <v>175</v>
      </c>
      <c r="CB108" s="84"/>
      <c r="CC108" s="84">
        <v>140</v>
      </c>
      <c r="CD108" s="84">
        <v>140</v>
      </c>
      <c r="CE108" s="84">
        <v>140</v>
      </c>
      <c r="CF108" s="84">
        <v>140</v>
      </c>
      <c r="CG108" s="84">
        <v>140</v>
      </c>
      <c r="CH108" s="84">
        <v>140</v>
      </c>
      <c r="CI108" s="84">
        <v>140</v>
      </c>
      <c r="CJ108" s="84">
        <v>140</v>
      </c>
    </row>
    <row r="109" s="76" customFormat="1">
      <c r="A109" s="77" t="s">
        <v>37</v>
      </c>
      <c r="B109" s="76" t="s">
        <v>145</v>
      </c>
      <c r="C109" s="76" t="s">
        <v>543</v>
      </c>
      <c r="D109" s="161" t="s">
        <v>533</v>
      </c>
      <c r="E109" s="161" t="s">
        <v>534</v>
      </c>
      <c r="F109" s="76" t="s">
        <v>181</v>
      </c>
      <c r="G109" s="76" t="s">
        <v>285</v>
      </c>
      <c r="H109" s="76" t="s">
        <v>166</v>
      </c>
      <c r="I109" s="76" t="s">
        <v>167</v>
      </c>
      <c r="J109" s="76" t="s">
        <v>183</v>
      </c>
      <c r="K109" s="76" t="s">
        <v>301</v>
      </c>
      <c r="O109" s="76" t="s">
        <v>408</v>
      </c>
      <c r="P109" s="76" t="s">
        <v>171</v>
      </c>
      <c r="Q109" s="76" t="s">
        <v>171</v>
      </c>
      <c r="R109" s="77" t="s">
        <v>541</v>
      </c>
      <c r="T109" s="99" t="s">
        <v>174</v>
      </c>
      <c r="W109" s="86">
        <v>17</v>
      </c>
      <c r="Y109" s="84">
        <f t="shared" si="64"/>
        <v>128.40000000000001</v>
      </c>
      <c r="Z109" s="84">
        <f t="shared" si="65"/>
        <v>107.75999999999999</v>
      </c>
      <c r="AA109" s="84"/>
      <c r="AB109" s="84"/>
      <c r="AC109" s="84">
        <f t="shared" si="66"/>
        <v>167.28</v>
      </c>
      <c r="AD109" s="84">
        <f t="shared" si="67"/>
        <v>94.319999999999993</v>
      </c>
      <c r="AE109" s="84"/>
      <c r="AF109" s="84"/>
      <c r="AG109" s="84">
        <f t="shared" si="68"/>
        <v>290.15999999999997</v>
      </c>
      <c r="AH109" s="84">
        <f t="shared" si="69"/>
        <v>93.120000000000005</v>
      </c>
      <c r="AI109" s="84"/>
      <c r="AJ109" s="84"/>
      <c r="AK109" s="84">
        <f t="shared" si="70"/>
        <v>791.51999999999998</v>
      </c>
      <c r="AL109" s="84">
        <f t="shared" si="71"/>
        <v>92.400000000000006</v>
      </c>
      <c r="BM109" s="84">
        <v>53.5</v>
      </c>
      <c r="BN109" s="84">
        <v>44.899999999999999</v>
      </c>
      <c r="BO109" s="84" t="s">
        <v>175</v>
      </c>
      <c r="BQ109" s="84">
        <v>69.700000000000003</v>
      </c>
      <c r="BR109" s="84">
        <v>39.299999999999997</v>
      </c>
      <c r="BS109" s="84" t="s">
        <v>175</v>
      </c>
      <c r="BT109" s="84"/>
      <c r="BU109" s="84">
        <v>120.90000000000001</v>
      </c>
      <c r="BV109" s="84">
        <v>38.799999999999997</v>
      </c>
      <c r="BW109" s="84" t="s">
        <v>175</v>
      </c>
      <c r="BX109" s="84"/>
      <c r="BY109" s="84">
        <v>329.80000000000001</v>
      </c>
      <c r="BZ109" s="84">
        <v>38.5</v>
      </c>
      <c r="CA109" s="84" t="s">
        <v>175</v>
      </c>
      <c r="CB109" s="84"/>
      <c r="CC109" s="84">
        <v>140</v>
      </c>
      <c r="CD109" s="84">
        <v>140</v>
      </c>
      <c r="CE109" s="84">
        <v>140</v>
      </c>
      <c r="CF109" s="84">
        <v>140</v>
      </c>
      <c r="CG109" s="84">
        <v>140</v>
      </c>
      <c r="CH109" s="84">
        <v>140</v>
      </c>
      <c r="CI109" s="84">
        <v>140</v>
      </c>
      <c r="CJ109" s="84">
        <v>140</v>
      </c>
    </row>
    <row r="110" s="76" customFormat="1">
      <c r="A110" s="77" t="s">
        <v>37</v>
      </c>
      <c r="B110" s="76" t="s">
        <v>145</v>
      </c>
      <c r="C110" s="76" t="s">
        <v>544</v>
      </c>
      <c r="D110" s="161" t="s">
        <v>533</v>
      </c>
      <c r="E110" s="161" t="s">
        <v>534</v>
      </c>
      <c r="F110" s="76" t="s">
        <v>181</v>
      </c>
      <c r="G110" s="76" t="s">
        <v>285</v>
      </c>
      <c r="H110" s="76" t="s">
        <v>166</v>
      </c>
      <c r="I110" s="76" t="s">
        <v>167</v>
      </c>
      <c r="J110" s="76" t="s">
        <v>183</v>
      </c>
      <c r="K110" s="76" t="s">
        <v>442</v>
      </c>
      <c r="O110" s="76" t="s">
        <v>408</v>
      </c>
      <c r="P110" s="76" t="s">
        <v>171</v>
      </c>
      <c r="Q110" s="76" t="s">
        <v>171</v>
      </c>
      <c r="R110" s="77" t="s">
        <v>541</v>
      </c>
      <c r="T110" s="99" t="s">
        <v>174</v>
      </c>
      <c r="W110" s="86">
        <v>17</v>
      </c>
      <c r="Y110" s="84">
        <f t="shared" si="64"/>
        <v>128.40000000000001</v>
      </c>
      <c r="Z110" s="84">
        <f t="shared" si="65"/>
        <v>107.75999999999999</v>
      </c>
      <c r="AA110" s="84"/>
      <c r="AB110" s="84"/>
      <c r="AC110" s="84">
        <f t="shared" si="66"/>
        <v>167.28</v>
      </c>
      <c r="AD110" s="84">
        <f t="shared" si="67"/>
        <v>94.319999999999993</v>
      </c>
      <c r="AE110" s="84"/>
      <c r="AF110" s="84"/>
      <c r="AG110" s="84">
        <f t="shared" si="68"/>
        <v>290.15999999999997</v>
      </c>
      <c r="AH110" s="84">
        <f t="shared" si="69"/>
        <v>93.120000000000005</v>
      </c>
      <c r="AI110" s="84"/>
      <c r="AJ110" s="84"/>
      <c r="AK110" s="84">
        <f t="shared" si="70"/>
        <v>791.51999999999998</v>
      </c>
      <c r="AL110" s="84">
        <f t="shared" si="71"/>
        <v>92.400000000000006</v>
      </c>
      <c r="BM110" s="84">
        <v>53.5</v>
      </c>
      <c r="BN110" s="84">
        <v>44.899999999999999</v>
      </c>
      <c r="BO110" s="84" t="s">
        <v>175</v>
      </c>
      <c r="BQ110" s="84">
        <v>69.700000000000003</v>
      </c>
      <c r="BR110" s="84">
        <v>39.299999999999997</v>
      </c>
      <c r="BS110" s="84" t="s">
        <v>175</v>
      </c>
      <c r="BT110" s="84"/>
      <c r="BU110" s="84">
        <v>120.90000000000001</v>
      </c>
      <c r="BV110" s="84">
        <v>38.799999999999997</v>
      </c>
      <c r="BW110" s="84" t="s">
        <v>175</v>
      </c>
      <c r="BX110" s="84"/>
      <c r="BY110" s="84">
        <v>329.80000000000001</v>
      </c>
      <c r="BZ110" s="84">
        <v>38.5</v>
      </c>
      <c r="CA110" s="84" t="s">
        <v>175</v>
      </c>
      <c r="CB110" s="84"/>
      <c r="CC110" s="84">
        <v>140</v>
      </c>
      <c r="CD110" s="84">
        <v>140</v>
      </c>
      <c r="CE110" s="84">
        <v>140</v>
      </c>
      <c r="CF110" s="84">
        <v>140</v>
      </c>
      <c r="CG110" s="84">
        <v>140</v>
      </c>
      <c r="CH110" s="84">
        <v>140</v>
      </c>
      <c r="CI110" s="84">
        <v>140</v>
      </c>
      <c r="CJ110" s="84">
        <v>140</v>
      </c>
    </row>
    <row r="111" s="76" customFormat="1">
      <c r="A111" s="77" t="s">
        <v>37</v>
      </c>
      <c r="B111" s="76" t="s">
        <v>145</v>
      </c>
      <c r="C111" s="76" t="s">
        <v>545</v>
      </c>
      <c r="D111" s="161" t="s">
        <v>533</v>
      </c>
      <c r="E111" s="161" t="s">
        <v>534</v>
      </c>
      <c r="F111" s="76" t="s">
        <v>181</v>
      </c>
      <c r="G111" s="76" t="s">
        <v>285</v>
      </c>
      <c r="H111" s="76" t="s">
        <v>166</v>
      </c>
      <c r="I111" s="76" t="s">
        <v>167</v>
      </c>
      <c r="J111" s="76" t="s">
        <v>168</v>
      </c>
      <c r="K111" s="76" t="s">
        <v>301</v>
      </c>
      <c r="O111" s="76" t="s">
        <v>408</v>
      </c>
      <c r="P111" s="76" t="s">
        <v>171</v>
      </c>
      <c r="Q111" s="76" t="s">
        <v>171</v>
      </c>
      <c r="R111" s="77" t="s">
        <v>541</v>
      </c>
      <c r="T111" s="99" t="s">
        <v>174</v>
      </c>
      <c r="W111" s="86">
        <v>21.399999999999999</v>
      </c>
      <c r="Y111" s="84">
        <f t="shared" si="64"/>
        <v>140.16</v>
      </c>
      <c r="Z111" s="84">
        <f t="shared" si="65"/>
        <v>136.31999999999999</v>
      </c>
      <c r="AA111" s="84"/>
      <c r="AB111" s="84"/>
      <c r="AC111" s="84">
        <f t="shared" si="66"/>
        <v>173.51999999999998</v>
      </c>
      <c r="AD111" s="84">
        <f t="shared" si="67"/>
        <v>119.52</v>
      </c>
      <c r="AE111" s="84"/>
      <c r="AF111" s="84"/>
      <c r="AG111" s="84">
        <f t="shared" si="68"/>
        <v>309.12</v>
      </c>
      <c r="AH111" s="84">
        <f t="shared" si="69"/>
        <v>114.96000000000001</v>
      </c>
      <c r="AI111" s="84"/>
      <c r="AJ111" s="84"/>
      <c r="AK111" s="84">
        <f t="shared" si="70"/>
        <v>852.48000000000002</v>
      </c>
      <c r="AL111" s="84">
        <f t="shared" si="71"/>
        <v>111.59999999999999</v>
      </c>
      <c r="BM111" s="84">
        <v>58.399999999999999</v>
      </c>
      <c r="BN111" s="84">
        <v>56.799999999999997</v>
      </c>
      <c r="BO111" s="84" t="s">
        <v>175</v>
      </c>
      <c r="BQ111" s="84">
        <v>72.299999999999997</v>
      </c>
      <c r="BR111" s="84">
        <v>49.799999999999997</v>
      </c>
      <c r="BS111" s="84" t="s">
        <v>175</v>
      </c>
      <c r="BT111" s="84"/>
      <c r="BU111" s="84">
        <v>128.80000000000001</v>
      </c>
      <c r="BV111" s="84">
        <v>47.899999999999999</v>
      </c>
      <c r="BW111" s="84" t="s">
        <v>175</v>
      </c>
      <c r="BX111" s="84"/>
      <c r="BY111" s="84">
        <v>355.19999999999999</v>
      </c>
      <c r="BZ111" s="84">
        <v>46.5</v>
      </c>
      <c r="CA111" s="84" t="s">
        <v>175</v>
      </c>
      <c r="CC111" s="84">
        <v>140</v>
      </c>
      <c r="CD111" s="84">
        <v>140</v>
      </c>
      <c r="CE111" s="84">
        <v>140</v>
      </c>
      <c r="CF111" s="84">
        <v>140</v>
      </c>
      <c r="CG111" s="84">
        <v>140</v>
      </c>
      <c r="CH111" s="84">
        <v>140</v>
      </c>
      <c r="CI111" s="84">
        <v>140</v>
      </c>
      <c r="CJ111" s="84">
        <v>140</v>
      </c>
    </row>
    <row r="112" s="76" customFormat="1">
      <c r="A112" s="77" t="s">
        <v>37</v>
      </c>
      <c r="B112" s="76" t="s">
        <v>145</v>
      </c>
      <c r="C112" s="76" t="s">
        <v>546</v>
      </c>
      <c r="D112" s="161" t="s">
        <v>533</v>
      </c>
      <c r="E112" s="161" t="s">
        <v>534</v>
      </c>
      <c r="F112" s="76" t="s">
        <v>181</v>
      </c>
      <c r="G112" s="76" t="s">
        <v>285</v>
      </c>
      <c r="H112" s="76" t="s">
        <v>166</v>
      </c>
      <c r="I112" s="76" t="s">
        <v>167</v>
      </c>
      <c r="J112" s="76" t="s">
        <v>168</v>
      </c>
      <c r="K112" s="76" t="s">
        <v>442</v>
      </c>
      <c r="O112" s="76" t="s">
        <v>408</v>
      </c>
      <c r="P112" s="76" t="s">
        <v>171</v>
      </c>
      <c r="Q112" s="76" t="s">
        <v>171</v>
      </c>
      <c r="R112" s="77" t="s">
        <v>541</v>
      </c>
      <c r="T112" s="99" t="s">
        <v>174</v>
      </c>
      <c r="W112" s="86">
        <v>21.399999999999999</v>
      </c>
      <c r="Y112" s="84">
        <f t="shared" si="64"/>
        <v>140.16</v>
      </c>
      <c r="Z112" s="84">
        <f t="shared" si="65"/>
        <v>136.31999999999999</v>
      </c>
      <c r="AA112" s="84"/>
      <c r="AB112" s="84"/>
      <c r="AC112" s="84">
        <f t="shared" si="66"/>
        <v>173.51999999999998</v>
      </c>
      <c r="AD112" s="84">
        <f t="shared" si="67"/>
        <v>119.52</v>
      </c>
      <c r="AE112" s="84"/>
      <c r="AF112" s="84"/>
      <c r="AG112" s="84">
        <f t="shared" si="68"/>
        <v>309.12</v>
      </c>
      <c r="AH112" s="84">
        <f t="shared" si="69"/>
        <v>114.96000000000001</v>
      </c>
      <c r="AI112" s="84"/>
      <c r="AJ112" s="84"/>
      <c r="AK112" s="84">
        <f t="shared" si="70"/>
        <v>852.48000000000002</v>
      </c>
      <c r="AL112" s="84">
        <f t="shared" si="71"/>
        <v>111.59999999999999</v>
      </c>
      <c r="BM112" s="84">
        <v>58.399999999999999</v>
      </c>
      <c r="BN112" s="84">
        <v>56.799999999999997</v>
      </c>
      <c r="BO112" s="84" t="s">
        <v>175</v>
      </c>
      <c r="BQ112" s="84">
        <v>72.299999999999997</v>
      </c>
      <c r="BR112" s="84">
        <v>49.799999999999997</v>
      </c>
      <c r="BS112" s="84" t="s">
        <v>175</v>
      </c>
      <c r="BT112" s="84"/>
      <c r="BU112" s="84">
        <v>128.80000000000001</v>
      </c>
      <c r="BV112" s="84">
        <v>47.899999999999999</v>
      </c>
      <c r="BW112" s="84" t="s">
        <v>175</v>
      </c>
      <c r="BX112" s="84"/>
      <c r="BY112" s="84">
        <v>355.19999999999999</v>
      </c>
      <c r="BZ112" s="84">
        <v>46.5</v>
      </c>
      <c r="CA112" s="84" t="s">
        <v>175</v>
      </c>
      <c r="CC112" s="84">
        <v>140</v>
      </c>
      <c r="CD112" s="84">
        <v>140</v>
      </c>
      <c r="CE112" s="84">
        <v>140</v>
      </c>
      <c r="CF112" s="84">
        <v>140</v>
      </c>
      <c r="CG112" s="84">
        <v>140</v>
      </c>
      <c r="CH112" s="84">
        <v>140</v>
      </c>
      <c r="CI112" s="84">
        <v>140</v>
      </c>
      <c r="CJ112" s="84">
        <v>140</v>
      </c>
    </row>
    <row r="113">
      <c r="A113" s="57" t="s">
        <v>37</v>
      </c>
      <c r="B113" s="51" t="s">
        <v>145</v>
      </c>
      <c r="C113" s="51" t="s">
        <v>547</v>
      </c>
      <c r="D113" s="161" t="s">
        <v>533</v>
      </c>
      <c r="E113" s="161" t="s">
        <v>534</v>
      </c>
      <c r="F113" s="51" t="s">
        <v>181</v>
      </c>
      <c r="G113" s="51" t="s">
        <v>548</v>
      </c>
      <c r="H113" s="51" t="s">
        <v>182</v>
      </c>
      <c r="I113" s="51" t="s">
        <v>167</v>
      </c>
      <c r="J113" s="51" t="s">
        <v>300</v>
      </c>
      <c r="K113" s="51" t="s">
        <v>301</v>
      </c>
      <c r="O113" s="51" t="s">
        <v>408</v>
      </c>
      <c r="P113" s="51" t="s">
        <v>171</v>
      </c>
      <c r="Q113" s="51" t="s">
        <v>171</v>
      </c>
      <c r="R113" s="57" t="s">
        <v>549</v>
      </c>
      <c r="T113" s="106" t="s">
        <v>174</v>
      </c>
      <c r="W113" s="64">
        <v>17</v>
      </c>
      <c r="Y113" s="62">
        <f t="shared" si="64"/>
        <v>184.80000000000001</v>
      </c>
      <c r="Z113" s="62">
        <f t="shared" si="65"/>
        <v>143.28</v>
      </c>
      <c r="AA113" s="62"/>
      <c r="AB113" s="62"/>
      <c r="AC113" s="62">
        <f t="shared" si="66"/>
        <v>238.56</v>
      </c>
      <c r="AD113" s="62">
        <f t="shared" si="67"/>
        <v>121.44</v>
      </c>
      <c r="AE113" s="62"/>
      <c r="AF113" s="62"/>
      <c r="AG113" s="62">
        <f t="shared" si="68"/>
        <v>388.32000000000005</v>
      </c>
      <c r="AH113" s="62">
        <f t="shared" si="69"/>
        <v>106.8</v>
      </c>
      <c r="AI113" s="62"/>
      <c r="AJ113" s="62"/>
      <c r="AK113" s="62">
        <f t="shared" si="70"/>
        <v>914.39999999999998</v>
      </c>
      <c r="AL113" s="62">
        <f t="shared" si="71"/>
        <v>105.12</v>
      </c>
      <c r="BM113" s="62">
        <v>77</v>
      </c>
      <c r="BN113" s="62">
        <v>59.700000000000003</v>
      </c>
      <c r="BO113" s="62" t="s">
        <v>175</v>
      </c>
      <c r="BQ113" s="62">
        <v>99.400000000000006</v>
      </c>
      <c r="BR113" s="62">
        <v>50.600000000000001</v>
      </c>
      <c r="BS113" s="62" t="s">
        <v>175</v>
      </c>
      <c r="BT113" s="62"/>
      <c r="BU113" s="62">
        <v>161.80000000000001</v>
      </c>
      <c r="BV113" s="62">
        <v>44.5</v>
      </c>
      <c r="BW113" s="62" t="s">
        <v>175</v>
      </c>
      <c r="BX113" s="62"/>
      <c r="BY113" s="62">
        <v>381</v>
      </c>
      <c r="BZ113" s="62">
        <v>43.799999999999997</v>
      </c>
      <c r="CA113" s="62" t="s">
        <v>175</v>
      </c>
      <c r="CB113" s="62"/>
      <c r="CC113" s="62">
        <v>140</v>
      </c>
      <c r="CD113" s="62">
        <v>140</v>
      </c>
      <c r="CE113" s="62">
        <v>140</v>
      </c>
      <c r="CF113" s="62">
        <v>140</v>
      </c>
      <c r="CG113" s="62">
        <v>140</v>
      </c>
      <c r="CH113" s="62">
        <v>140</v>
      </c>
      <c r="CI113" s="62">
        <v>140</v>
      </c>
      <c r="CJ113" s="62">
        <v>140</v>
      </c>
    </row>
    <row r="114">
      <c r="A114" s="57" t="s">
        <v>37</v>
      </c>
      <c r="B114" s="51" t="s">
        <v>145</v>
      </c>
      <c r="C114" s="51" t="s">
        <v>550</v>
      </c>
      <c r="D114" s="161" t="s">
        <v>533</v>
      </c>
      <c r="E114" s="161" t="s">
        <v>534</v>
      </c>
      <c r="F114" s="51" t="s">
        <v>181</v>
      </c>
      <c r="G114" s="51" t="s">
        <v>548</v>
      </c>
      <c r="H114" s="51" t="s">
        <v>182</v>
      </c>
      <c r="I114" s="51" t="s">
        <v>167</v>
      </c>
      <c r="J114" s="51" t="s">
        <v>300</v>
      </c>
      <c r="K114" s="51" t="s">
        <v>442</v>
      </c>
      <c r="O114" s="51" t="s">
        <v>408</v>
      </c>
      <c r="P114" s="51" t="s">
        <v>171</v>
      </c>
      <c r="Q114" s="51" t="s">
        <v>171</v>
      </c>
      <c r="R114" s="57" t="s">
        <v>549</v>
      </c>
      <c r="T114" s="106" t="s">
        <v>174</v>
      </c>
      <c r="W114" s="64">
        <v>17</v>
      </c>
      <c r="Y114" s="62">
        <f t="shared" si="64"/>
        <v>184.80000000000001</v>
      </c>
      <c r="Z114" s="62">
        <f t="shared" si="65"/>
        <v>143.28</v>
      </c>
      <c r="AA114" s="62"/>
      <c r="AB114" s="62"/>
      <c r="AC114" s="62">
        <f t="shared" si="66"/>
        <v>238.56</v>
      </c>
      <c r="AD114" s="62">
        <f t="shared" si="67"/>
        <v>121.44</v>
      </c>
      <c r="AE114" s="62"/>
      <c r="AF114" s="62"/>
      <c r="AG114" s="62">
        <f t="shared" si="68"/>
        <v>388.32000000000005</v>
      </c>
      <c r="AH114" s="62">
        <f t="shared" si="69"/>
        <v>106.8</v>
      </c>
      <c r="AI114" s="62"/>
      <c r="AJ114" s="62"/>
      <c r="AK114" s="62">
        <f t="shared" si="70"/>
        <v>914.39999999999998</v>
      </c>
      <c r="AL114" s="62">
        <f t="shared" si="71"/>
        <v>105.12</v>
      </c>
      <c r="BM114" s="62">
        <v>77</v>
      </c>
      <c r="BN114" s="62">
        <v>59.700000000000003</v>
      </c>
      <c r="BO114" s="62" t="s">
        <v>175</v>
      </c>
      <c r="BQ114" s="62">
        <v>99.400000000000006</v>
      </c>
      <c r="BR114" s="62">
        <v>50.600000000000001</v>
      </c>
      <c r="BS114" s="62" t="s">
        <v>175</v>
      </c>
      <c r="BT114" s="62"/>
      <c r="BU114" s="62">
        <v>161.80000000000001</v>
      </c>
      <c r="BV114" s="62">
        <v>44.5</v>
      </c>
      <c r="BW114" s="62" t="s">
        <v>175</v>
      </c>
      <c r="BX114" s="62"/>
      <c r="BY114" s="62">
        <v>381</v>
      </c>
      <c r="BZ114" s="62">
        <v>43.799999999999997</v>
      </c>
      <c r="CA114" s="62" t="s">
        <v>175</v>
      </c>
      <c r="CB114" s="62"/>
      <c r="CC114" s="62">
        <v>140</v>
      </c>
      <c r="CD114" s="62">
        <v>140</v>
      </c>
      <c r="CE114" s="62">
        <v>140</v>
      </c>
      <c r="CF114" s="62">
        <v>140</v>
      </c>
      <c r="CG114" s="62">
        <v>140</v>
      </c>
      <c r="CH114" s="62">
        <v>140</v>
      </c>
      <c r="CI114" s="62">
        <v>140</v>
      </c>
      <c r="CJ114" s="62">
        <v>140</v>
      </c>
    </row>
    <row r="115">
      <c r="A115" s="57" t="s">
        <v>37</v>
      </c>
      <c r="B115" s="51" t="s">
        <v>145</v>
      </c>
      <c r="C115" s="51" t="s">
        <v>551</v>
      </c>
      <c r="D115" s="161" t="s">
        <v>533</v>
      </c>
      <c r="E115" s="161" t="s">
        <v>534</v>
      </c>
      <c r="F115" s="51" t="s">
        <v>181</v>
      </c>
      <c r="G115" s="51" t="s">
        <v>548</v>
      </c>
      <c r="H115" s="51" t="s">
        <v>182</v>
      </c>
      <c r="I115" s="51" t="s">
        <v>167</v>
      </c>
      <c r="J115" s="51" t="s">
        <v>183</v>
      </c>
      <c r="K115" s="51" t="s">
        <v>301</v>
      </c>
      <c r="O115" s="51" t="s">
        <v>408</v>
      </c>
      <c r="P115" s="51" t="s">
        <v>171</v>
      </c>
      <c r="Q115" s="51" t="s">
        <v>171</v>
      </c>
      <c r="R115" s="57" t="s">
        <v>549</v>
      </c>
      <c r="T115" s="106" t="s">
        <v>174</v>
      </c>
      <c r="W115" s="64">
        <v>25.399999999999999</v>
      </c>
      <c r="Y115" s="62">
        <f t="shared" si="64"/>
        <v>177.12</v>
      </c>
      <c r="Z115" s="62">
        <f t="shared" si="65"/>
        <v>170.40000000000001</v>
      </c>
      <c r="AA115" s="62"/>
      <c r="AB115" s="62"/>
      <c r="AC115" s="62">
        <f t="shared" si="66"/>
        <v>193.68000000000001</v>
      </c>
      <c r="AD115" s="62">
        <f t="shared" si="67"/>
        <v>147.35999999999999</v>
      </c>
      <c r="AE115" s="62"/>
      <c r="AF115" s="62"/>
      <c r="AG115" s="62">
        <f t="shared" si="68"/>
        <v>443.03999999999996</v>
      </c>
      <c r="AH115" s="62">
        <f t="shared" si="69"/>
        <v>132.72</v>
      </c>
      <c r="AI115" s="62"/>
      <c r="AJ115" s="62"/>
      <c r="AK115" s="62">
        <f t="shared" si="70"/>
        <v>1138.3199999999999</v>
      </c>
      <c r="AL115" s="62">
        <f t="shared" si="71"/>
        <v>128.16</v>
      </c>
      <c r="BM115" s="62">
        <v>73.799999999999997</v>
      </c>
      <c r="BN115" s="62">
        <v>71</v>
      </c>
      <c r="BO115" s="62" t="s">
        <v>175</v>
      </c>
      <c r="BQ115" s="62">
        <v>80.700000000000003</v>
      </c>
      <c r="BR115" s="62">
        <v>61.399999999999999</v>
      </c>
      <c r="BS115" s="62" t="s">
        <v>175</v>
      </c>
      <c r="BT115" s="62"/>
      <c r="BU115" s="62">
        <v>184.59999999999999</v>
      </c>
      <c r="BV115" s="62">
        <v>55.299999999999997</v>
      </c>
      <c r="BW115" s="62" t="s">
        <v>175</v>
      </c>
      <c r="BX115" s="62"/>
      <c r="BY115" s="62">
        <v>474.30000000000001</v>
      </c>
      <c r="BZ115" s="62">
        <v>53.399999999999999</v>
      </c>
      <c r="CA115" s="62" t="s">
        <v>175</v>
      </c>
      <c r="CB115" s="62"/>
      <c r="CC115" s="62">
        <v>140</v>
      </c>
      <c r="CD115" s="62">
        <v>140</v>
      </c>
      <c r="CE115" s="62">
        <v>140</v>
      </c>
      <c r="CF115" s="62">
        <v>140</v>
      </c>
      <c r="CG115" s="62">
        <v>140</v>
      </c>
      <c r="CH115" s="62">
        <v>140</v>
      </c>
      <c r="CI115" s="62">
        <v>140</v>
      </c>
      <c r="CJ115" s="62">
        <v>140</v>
      </c>
    </row>
    <row r="116">
      <c r="A116" s="57" t="s">
        <v>37</v>
      </c>
      <c r="B116" s="51" t="s">
        <v>145</v>
      </c>
      <c r="C116" s="51" t="s">
        <v>552</v>
      </c>
      <c r="D116" s="161" t="s">
        <v>533</v>
      </c>
      <c r="E116" s="161" t="s">
        <v>534</v>
      </c>
      <c r="F116" s="51" t="s">
        <v>181</v>
      </c>
      <c r="G116" s="51" t="s">
        <v>548</v>
      </c>
      <c r="H116" s="51" t="s">
        <v>182</v>
      </c>
      <c r="I116" s="51" t="s">
        <v>167</v>
      </c>
      <c r="J116" s="51" t="s">
        <v>183</v>
      </c>
      <c r="K116" s="51" t="s">
        <v>442</v>
      </c>
      <c r="O116" s="51" t="s">
        <v>408</v>
      </c>
      <c r="P116" s="51" t="s">
        <v>171</v>
      </c>
      <c r="Q116" s="51" t="s">
        <v>171</v>
      </c>
      <c r="R116" s="57" t="s">
        <v>549</v>
      </c>
      <c r="T116" s="106" t="s">
        <v>174</v>
      </c>
      <c r="W116" s="64">
        <v>25.399999999999999</v>
      </c>
      <c r="Y116" s="62">
        <f t="shared" si="64"/>
        <v>177.12</v>
      </c>
      <c r="Z116" s="62">
        <f t="shared" si="65"/>
        <v>170.40000000000001</v>
      </c>
      <c r="AA116" s="62"/>
      <c r="AB116" s="62"/>
      <c r="AC116" s="62">
        <f t="shared" si="66"/>
        <v>193.68000000000001</v>
      </c>
      <c r="AD116" s="62">
        <f t="shared" si="67"/>
        <v>147.35999999999999</v>
      </c>
      <c r="AE116" s="62"/>
      <c r="AF116" s="62"/>
      <c r="AG116" s="62">
        <f t="shared" si="68"/>
        <v>443.03999999999996</v>
      </c>
      <c r="AH116" s="62">
        <f t="shared" si="69"/>
        <v>132.72</v>
      </c>
      <c r="AI116" s="62"/>
      <c r="AJ116" s="62"/>
      <c r="AK116" s="62">
        <f t="shared" si="70"/>
        <v>1138.3199999999999</v>
      </c>
      <c r="AL116" s="62">
        <f t="shared" si="71"/>
        <v>128.16</v>
      </c>
      <c r="BM116" s="62">
        <v>73.799999999999997</v>
      </c>
      <c r="BN116" s="62">
        <v>71</v>
      </c>
      <c r="BO116" s="62" t="s">
        <v>175</v>
      </c>
      <c r="BQ116" s="62">
        <v>80.700000000000003</v>
      </c>
      <c r="BR116" s="62">
        <v>61.399999999999999</v>
      </c>
      <c r="BS116" s="62" t="s">
        <v>175</v>
      </c>
      <c r="BT116" s="62"/>
      <c r="BU116" s="62">
        <v>184.59999999999999</v>
      </c>
      <c r="BV116" s="62">
        <v>55.299999999999997</v>
      </c>
      <c r="BW116" s="62" t="s">
        <v>175</v>
      </c>
      <c r="BX116" s="62"/>
      <c r="BY116" s="62">
        <v>474.30000000000001</v>
      </c>
      <c r="BZ116" s="62">
        <v>53.399999999999999</v>
      </c>
      <c r="CA116" s="62" t="s">
        <v>175</v>
      </c>
      <c r="CB116" s="62"/>
      <c r="CC116" s="62">
        <v>140</v>
      </c>
      <c r="CD116" s="62">
        <v>140</v>
      </c>
      <c r="CE116" s="62">
        <v>140</v>
      </c>
      <c r="CF116" s="62">
        <v>140</v>
      </c>
      <c r="CG116" s="62">
        <v>140</v>
      </c>
      <c r="CH116" s="62">
        <v>140</v>
      </c>
      <c r="CI116" s="62">
        <v>140</v>
      </c>
      <c r="CJ116" s="62">
        <v>140</v>
      </c>
    </row>
    <row r="117">
      <c r="A117" s="57" t="s">
        <v>37</v>
      </c>
      <c r="B117" s="51" t="s">
        <v>145</v>
      </c>
      <c r="C117" s="51" t="s">
        <v>553</v>
      </c>
      <c r="D117" s="161" t="s">
        <v>533</v>
      </c>
      <c r="E117" s="161" t="s">
        <v>534</v>
      </c>
      <c r="F117" s="51" t="s">
        <v>181</v>
      </c>
      <c r="G117" s="51" t="s">
        <v>548</v>
      </c>
      <c r="H117" s="51" t="s">
        <v>182</v>
      </c>
      <c r="I117" s="51" t="s">
        <v>167</v>
      </c>
      <c r="J117" s="51" t="s">
        <v>168</v>
      </c>
      <c r="K117" s="51" t="s">
        <v>301</v>
      </c>
      <c r="O117" s="51" t="s">
        <v>408</v>
      </c>
      <c r="P117" s="51" t="s">
        <v>171</v>
      </c>
      <c r="Q117" s="51" t="s">
        <v>171</v>
      </c>
      <c r="R117" s="57" t="s">
        <v>549</v>
      </c>
      <c r="T117" s="106" t="s">
        <v>174</v>
      </c>
      <c r="W117" s="64">
        <v>32</v>
      </c>
      <c r="Y117" s="62">
        <f t="shared" si="64"/>
        <v>205.92000000000002</v>
      </c>
      <c r="Z117" s="62">
        <f t="shared" si="65"/>
        <v>190.31999999999999</v>
      </c>
      <c r="AA117" s="62"/>
      <c r="AB117" s="62"/>
      <c r="AC117" s="62">
        <f t="shared" si="66"/>
        <v>307.44</v>
      </c>
      <c r="AD117" s="62">
        <f t="shared" si="67"/>
        <v>167.03999999999999</v>
      </c>
      <c r="AE117" s="62"/>
      <c r="AF117" s="62"/>
      <c r="AG117" s="62">
        <f t="shared" si="68"/>
        <v>621.84000000000003</v>
      </c>
      <c r="AH117" s="62">
        <f t="shared" si="69"/>
        <v>160.31999999999999</v>
      </c>
      <c r="AI117" s="62"/>
      <c r="AJ117" s="62"/>
      <c r="AK117" s="62">
        <f t="shared" si="70"/>
        <v>1432.8</v>
      </c>
      <c r="AL117" s="62">
        <f t="shared" si="71"/>
        <v>157.92000000000002</v>
      </c>
      <c r="BM117" s="62">
        <v>85.799999999999997</v>
      </c>
      <c r="BN117" s="62">
        <v>79.299999999999997</v>
      </c>
      <c r="BO117" s="62" t="s">
        <v>175</v>
      </c>
      <c r="BQ117" s="62">
        <v>128.09999999999999</v>
      </c>
      <c r="BR117" s="62">
        <v>69.599999999999994</v>
      </c>
      <c r="BS117" s="62" t="s">
        <v>175</v>
      </c>
      <c r="BT117" s="62"/>
      <c r="BU117" s="62">
        <v>259.10000000000002</v>
      </c>
      <c r="BV117" s="62">
        <v>66.799999999999997</v>
      </c>
      <c r="BW117" s="62" t="s">
        <v>175</v>
      </c>
      <c r="BX117" s="62"/>
      <c r="BY117" s="62">
        <v>597</v>
      </c>
      <c r="BZ117" s="62">
        <v>65.799999999999997</v>
      </c>
      <c r="CA117" s="62" t="s">
        <v>175</v>
      </c>
      <c r="CC117" s="62">
        <v>140</v>
      </c>
      <c r="CD117" s="62">
        <v>140</v>
      </c>
      <c r="CE117" s="62">
        <v>140</v>
      </c>
      <c r="CF117" s="62">
        <v>140</v>
      </c>
      <c r="CG117" s="62">
        <v>140</v>
      </c>
      <c r="CH117" s="62">
        <v>140</v>
      </c>
      <c r="CI117" s="62">
        <v>140</v>
      </c>
      <c r="CJ117" s="62">
        <v>140</v>
      </c>
    </row>
    <row r="118">
      <c r="A118" s="57" t="s">
        <v>37</v>
      </c>
      <c r="B118" s="51" t="s">
        <v>145</v>
      </c>
      <c r="C118" s="51" t="s">
        <v>554</v>
      </c>
      <c r="D118" s="161" t="s">
        <v>533</v>
      </c>
      <c r="E118" s="161" t="s">
        <v>534</v>
      </c>
      <c r="F118" s="51" t="s">
        <v>181</v>
      </c>
      <c r="G118" s="51" t="s">
        <v>548</v>
      </c>
      <c r="H118" s="51" t="s">
        <v>182</v>
      </c>
      <c r="I118" s="51" t="s">
        <v>167</v>
      </c>
      <c r="J118" s="51" t="s">
        <v>168</v>
      </c>
      <c r="K118" s="51" t="s">
        <v>442</v>
      </c>
      <c r="O118" s="51" t="s">
        <v>408</v>
      </c>
      <c r="P118" s="51" t="s">
        <v>171</v>
      </c>
      <c r="Q118" s="51" t="s">
        <v>171</v>
      </c>
      <c r="R118" s="57" t="s">
        <v>549</v>
      </c>
      <c r="T118" s="106" t="s">
        <v>174</v>
      </c>
      <c r="W118" s="64">
        <v>32</v>
      </c>
      <c r="Y118" s="62">
        <f t="shared" si="64"/>
        <v>205.92000000000002</v>
      </c>
      <c r="Z118" s="62">
        <f t="shared" si="65"/>
        <v>190.31999999999999</v>
      </c>
      <c r="AA118" s="62"/>
      <c r="AB118" s="62"/>
      <c r="AC118" s="62">
        <f t="shared" si="66"/>
        <v>307.44</v>
      </c>
      <c r="AD118" s="62">
        <f t="shared" si="67"/>
        <v>167.03999999999999</v>
      </c>
      <c r="AE118" s="62"/>
      <c r="AF118" s="62"/>
      <c r="AG118" s="62">
        <f t="shared" si="68"/>
        <v>621.84000000000003</v>
      </c>
      <c r="AH118" s="62">
        <f t="shared" si="69"/>
        <v>160.31999999999999</v>
      </c>
      <c r="AI118" s="62"/>
      <c r="AJ118" s="62"/>
      <c r="AK118" s="62">
        <f t="shared" si="70"/>
        <v>1432.8</v>
      </c>
      <c r="AL118" s="62">
        <f t="shared" si="71"/>
        <v>157.92000000000002</v>
      </c>
      <c r="BM118" s="62">
        <v>85.799999999999997</v>
      </c>
      <c r="BN118" s="62">
        <v>79.299999999999997</v>
      </c>
      <c r="BO118" s="62" t="s">
        <v>175</v>
      </c>
      <c r="BQ118" s="62">
        <v>128.09999999999999</v>
      </c>
      <c r="BR118" s="62">
        <v>69.599999999999994</v>
      </c>
      <c r="BS118" s="62" t="s">
        <v>175</v>
      </c>
      <c r="BT118" s="62"/>
      <c r="BU118" s="62">
        <v>259.10000000000002</v>
      </c>
      <c r="BV118" s="62">
        <v>66.799999999999997</v>
      </c>
      <c r="BW118" s="62" t="s">
        <v>175</v>
      </c>
      <c r="BX118" s="62"/>
      <c r="BY118" s="62">
        <v>597</v>
      </c>
      <c r="BZ118" s="62">
        <v>65.799999999999997</v>
      </c>
      <c r="CA118" s="62" t="s">
        <v>175</v>
      </c>
      <c r="CC118" s="62">
        <v>140</v>
      </c>
      <c r="CD118" s="62">
        <v>140</v>
      </c>
      <c r="CE118" s="62">
        <v>140</v>
      </c>
      <c r="CF118" s="62">
        <v>140</v>
      </c>
      <c r="CG118" s="62">
        <v>140</v>
      </c>
      <c r="CH118" s="62">
        <v>140</v>
      </c>
      <c r="CI118" s="62">
        <v>140</v>
      </c>
      <c r="CJ118" s="62">
        <v>140</v>
      </c>
    </row>
    <row r="119" s="76" customFormat="1">
      <c r="A119" s="77" t="s">
        <v>37</v>
      </c>
      <c r="B119" s="76" t="s">
        <v>145</v>
      </c>
      <c r="C119" s="76" t="s">
        <v>555</v>
      </c>
      <c r="D119" s="161" t="s">
        <v>533</v>
      </c>
      <c r="E119" s="161" t="s">
        <v>534</v>
      </c>
      <c r="F119" s="76" t="s">
        <v>181</v>
      </c>
      <c r="G119" s="76" t="s">
        <v>556</v>
      </c>
      <c r="H119" s="76" t="s">
        <v>193</v>
      </c>
      <c r="I119" s="76" t="s">
        <v>167</v>
      </c>
      <c r="J119" s="76" t="s">
        <v>300</v>
      </c>
      <c r="K119" s="76" t="s">
        <v>301</v>
      </c>
      <c r="O119" s="76" t="s">
        <v>408</v>
      </c>
      <c r="P119" s="76" t="s">
        <v>171</v>
      </c>
      <c r="Q119" s="76" t="s">
        <v>171</v>
      </c>
      <c r="R119" s="77" t="s">
        <v>557</v>
      </c>
      <c r="T119" s="99" t="s">
        <v>174</v>
      </c>
      <c r="W119" s="86">
        <v>22.699999999999999</v>
      </c>
      <c r="Y119" s="84">
        <f t="shared" si="64"/>
        <v>258.48000000000002</v>
      </c>
      <c r="Z119" s="84">
        <f t="shared" si="65"/>
        <v>204</v>
      </c>
      <c r="AA119" s="84"/>
      <c r="AB119" s="84"/>
      <c r="AC119" s="84">
        <f t="shared" si="66"/>
        <v>417.84000000000003</v>
      </c>
      <c r="AD119" s="84">
        <f t="shared" si="67"/>
        <v>168</v>
      </c>
      <c r="AE119" s="84"/>
      <c r="AF119" s="84"/>
      <c r="AG119" s="84">
        <f t="shared" si="68"/>
        <v>628.31999999999994</v>
      </c>
      <c r="AH119" s="84">
        <f t="shared" si="69"/>
        <v>151.44</v>
      </c>
      <c r="AI119" s="84"/>
      <c r="AJ119" s="84"/>
      <c r="AK119" s="84">
        <f t="shared" si="70"/>
        <v>1362.48</v>
      </c>
      <c r="AL119" s="84">
        <f t="shared" si="71"/>
        <v>147.84</v>
      </c>
      <c r="BM119" s="84">
        <v>107.7</v>
      </c>
      <c r="BN119" s="84">
        <v>85</v>
      </c>
      <c r="BO119" s="84" t="s">
        <v>175</v>
      </c>
      <c r="BQ119" s="84">
        <v>174.09999999999999</v>
      </c>
      <c r="BR119" s="84">
        <v>70</v>
      </c>
      <c r="BS119" s="84" t="s">
        <v>175</v>
      </c>
      <c r="BT119" s="84"/>
      <c r="BU119" s="84">
        <v>261.80000000000001</v>
      </c>
      <c r="BV119" s="84">
        <v>63.100000000000001</v>
      </c>
      <c r="BW119" s="84" t="s">
        <v>175</v>
      </c>
      <c r="BX119" s="84"/>
      <c r="BY119" s="84">
        <v>567.70000000000005</v>
      </c>
      <c r="BZ119" s="84">
        <v>61.600000000000001</v>
      </c>
      <c r="CA119" s="84" t="s">
        <v>175</v>
      </c>
      <c r="CB119" s="84"/>
      <c r="CC119" s="84">
        <v>140</v>
      </c>
      <c r="CD119" s="84">
        <v>140</v>
      </c>
      <c r="CE119" s="84">
        <v>140</v>
      </c>
      <c r="CF119" s="84">
        <v>140</v>
      </c>
      <c r="CG119" s="84">
        <v>140</v>
      </c>
      <c r="CH119" s="84">
        <v>140</v>
      </c>
      <c r="CI119" s="84">
        <v>140</v>
      </c>
      <c r="CJ119" s="84">
        <v>140</v>
      </c>
    </row>
    <row r="120" s="76" customFormat="1">
      <c r="A120" s="77" t="s">
        <v>37</v>
      </c>
      <c r="B120" s="76" t="s">
        <v>145</v>
      </c>
      <c r="C120" s="76" t="s">
        <v>558</v>
      </c>
      <c r="D120" s="161" t="s">
        <v>533</v>
      </c>
      <c r="E120" s="161" t="s">
        <v>534</v>
      </c>
      <c r="F120" s="76" t="s">
        <v>181</v>
      </c>
      <c r="G120" s="76" t="s">
        <v>556</v>
      </c>
      <c r="H120" s="76" t="s">
        <v>193</v>
      </c>
      <c r="I120" s="76" t="s">
        <v>167</v>
      </c>
      <c r="J120" s="76" t="s">
        <v>300</v>
      </c>
      <c r="K120" s="76" t="s">
        <v>442</v>
      </c>
      <c r="O120" s="76" t="s">
        <v>408</v>
      </c>
      <c r="P120" s="76" t="s">
        <v>171</v>
      </c>
      <c r="Q120" s="76" t="s">
        <v>171</v>
      </c>
      <c r="R120" s="77" t="s">
        <v>557</v>
      </c>
      <c r="T120" s="99" t="s">
        <v>174</v>
      </c>
      <c r="W120" s="86">
        <v>22.699999999999999</v>
      </c>
      <c r="Y120" s="84">
        <f t="shared" si="64"/>
        <v>258.48000000000002</v>
      </c>
      <c r="Z120" s="84">
        <f t="shared" si="65"/>
        <v>204</v>
      </c>
      <c r="AA120" s="84"/>
      <c r="AB120" s="84"/>
      <c r="AC120" s="84">
        <f t="shared" si="66"/>
        <v>417.84000000000003</v>
      </c>
      <c r="AD120" s="84">
        <f t="shared" si="67"/>
        <v>168</v>
      </c>
      <c r="AE120" s="84"/>
      <c r="AF120" s="84"/>
      <c r="AG120" s="84">
        <f t="shared" si="68"/>
        <v>628.31999999999994</v>
      </c>
      <c r="AH120" s="84">
        <f t="shared" si="69"/>
        <v>151.44</v>
      </c>
      <c r="AI120" s="84"/>
      <c r="AJ120" s="84"/>
      <c r="AK120" s="84">
        <f t="shared" si="70"/>
        <v>1362.48</v>
      </c>
      <c r="AL120" s="84">
        <f t="shared" si="71"/>
        <v>147.84</v>
      </c>
      <c r="BM120" s="84">
        <v>107.7</v>
      </c>
      <c r="BN120" s="84">
        <v>85</v>
      </c>
      <c r="BO120" s="84" t="s">
        <v>175</v>
      </c>
      <c r="BQ120" s="84">
        <v>174.09999999999999</v>
      </c>
      <c r="BR120" s="84">
        <v>70</v>
      </c>
      <c r="BS120" s="84" t="s">
        <v>175</v>
      </c>
      <c r="BT120" s="84"/>
      <c r="BU120" s="84">
        <v>261.80000000000001</v>
      </c>
      <c r="BV120" s="84">
        <v>63.100000000000001</v>
      </c>
      <c r="BW120" s="84" t="s">
        <v>175</v>
      </c>
      <c r="BX120" s="84"/>
      <c r="BY120" s="84">
        <v>567.70000000000005</v>
      </c>
      <c r="BZ120" s="84">
        <v>61.600000000000001</v>
      </c>
      <c r="CA120" s="84" t="s">
        <v>175</v>
      </c>
      <c r="CB120" s="84"/>
      <c r="CC120" s="84">
        <v>140</v>
      </c>
      <c r="CD120" s="84">
        <v>140</v>
      </c>
      <c r="CE120" s="84">
        <v>140</v>
      </c>
      <c r="CF120" s="84">
        <v>140</v>
      </c>
      <c r="CG120" s="84">
        <v>140</v>
      </c>
      <c r="CH120" s="84">
        <v>140</v>
      </c>
      <c r="CI120" s="84">
        <v>140</v>
      </c>
      <c r="CJ120" s="84">
        <v>140</v>
      </c>
    </row>
    <row r="121" s="76" customFormat="1">
      <c r="A121" s="77" t="s">
        <v>37</v>
      </c>
      <c r="B121" s="76" t="s">
        <v>145</v>
      </c>
      <c r="C121" s="76" t="s">
        <v>559</v>
      </c>
      <c r="D121" s="161" t="s">
        <v>533</v>
      </c>
      <c r="E121" s="161" t="s">
        <v>534</v>
      </c>
      <c r="F121" s="76" t="s">
        <v>181</v>
      </c>
      <c r="G121" s="76" t="s">
        <v>556</v>
      </c>
      <c r="H121" s="76" t="s">
        <v>193</v>
      </c>
      <c r="I121" s="76" t="s">
        <v>167</v>
      </c>
      <c r="J121" s="76" t="s">
        <v>183</v>
      </c>
      <c r="K121" s="76" t="s">
        <v>301</v>
      </c>
      <c r="O121" s="76" t="s">
        <v>408</v>
      </c>
      <c r="P121" s="76" t="s">
        <v>171</v>
      </c>
      <c r="Q121" s="76" t="s">
        <v>171</v>
      </c>
      <c r="R121" s="77" t="s">
        <v>557</v>
      </c>
      <c r="T121" s="99" t="s">
        <v>174</v>
      </c>
      <c r="W121" s="86">
        <v>34</v>
      </c>
      <c r="Y121" s="84">
        <f t="shared" si="64"/>
        <v>269.75999999999999</v>
      </c>
      <c r="Z121" s="84">
        <f t="shared" si="65"/>
        <v>238.56</v>
      </c>
      <c r="AA121" s="84"/>
      <c r="AB121" s="84"/>
      <c r="AC121" s="84">
        <f t="shared" si="66"/>
        <v>417.60000000000002</v>
      </c>
      <c r="AD121" s="84">
        <f t="shared" si="67"/>
        <v>200.63999999999999</v>
      </c>
      <c r="AE121" s="84"/>
      <c r="AF121" s="84"/>
      <c r="AG121" s="84">
        <f t="shared" si="68"/>
        <v>737.51999999999998</v>
      </c>
      <c r="AH121" s="84">
        <f t="shared" si="69"/>
        <v>185.03999999999999</v>
      </c>
      <c r="AI121" s="84"/>
      <c r="AJ121" s="84"/>
      <c r="AK121" s="84">
        <f t="shared" si="70"/>
        <v>1639.2</v>
      </c>
      <c r="AL121" s="84">
        <f t="shared" si="71"/>
        <v>181.68000000000001</v>
      </c>
      <c r="BM121" s="84">
        <v>112.40000000000001</v>
      </c>
      <c r="BN121" s="84">
        <v>99.400000000000006</v>
      </c>
      <c r="BO121" s="84" t="s">
        <v>175</v>
      </c>
      <c r="BQ121" s="84">
        <v>174</v>
      </c>
      <c r="BR121" s="84">
        <v>83.599999999999994</v>
      </c>
      <c r="BS121" s="84" t="s">
        <v>175</v>
      </c>
      <c r="BT121" s="84"/>
      <c r="BU121" s="84">
        <v>307.30000000000001</v>
      </c>
      <c r="BV121" s="84">
        <v>77.099999999999994</v>
      </c>
      <c r="BW121" s="84" t="s">
        <v>175</v>
      </c>
      <c r="BX121" s="84"/>
      <c r="BY121" s="84">
        <v>683</v>
      </c>
      <c r="BZ121" s="84">
        <v>75.700000000000003</v>
      </c>
      <c r="CA121" s="84" t="s">
        <v>175</v>
      </c>
      <c r="CB121" s="84"/>
      <c r="CC121" s="84">
        <v>140</v>
      </c>
      <c r="CD121" s="84">
        <v>140</v>
      </c>
      <c r="CE121" s="84">
        <v>140</v>
      </c>
      <c r="CF121" s="84">
        <v>140</v>
      </c>
      <c r="CG121" s="84">
        <v>140</v>
      </c>
      <c r="CH121" s="84">
        <v>140</v>
      </c>
      <c r="CI121" s="84">
        <v>140</v>
      </c>
      <c r="CJ121" s="84">
        <v>140</v>
      </c>
    </row>
    <row r="122" s="76" customFormat="1">
      <c r="A122" s="77" t="s">
        <v>37</v>
      </c>
      <c r="B122" s="76" t="s">
        <v>145</v>
      </c>
      <c r="C122" s="76" t="s">
        <v>560</v>
      </c>
      <c r="D122" s="161" t="s">
        <v>533</v>
      </c>
      <c r="E122" s="161" t="s">
        <v>534</v>
      </c>
      <c r="F122" s="76" t="s">
        <v>181</v>
      </c>
      <c r="G122" s="76" t="s">
        <v>556</v>
      </c>
      <c r="H122" s="76" t="s">
        <v>193</v>
      </c>
      <c r="I122" s="76" t="s">
        <v>167</v>
      </c>
      <c r="J122" s="76" t="s">
        <v>183</v>
      </c>
      <c r="K122" s="76" t="s">
        <v>442</v>
      </c>
      <c r="O122" s="76" t="s">
        <v>408</v>
      </c>
      <c r="P122" s="76" t="s">
        <v>171</v>
      </c>
      <c r="Q122" s="76" t="s">
        <v>171</v>
      </c>
      <c r="R122" s="77" t="s">
        <v>557</v>
      </c>
      <c r="T122" s="99" t="s">
        <v>174</v>
      </c>
      <c r="W122" s="86">
        <v>34</v>
      </c>
      <c r="Y122" s="84">
        <f t="shared" si="64"/>
        <v>269.75999999999999</v>
      </c>
      <c r="Z122" s="84">
        <f t="shared" si="65"/>
        <v>238.56</v>
      </c>
      <c r="AA122" s="84"/>
      <c r="AB122" s="84"/>
      <c r="AC122" s="84">
        <f t="shared" si="66"/>
        <v>417.60000000000002</v>
      </c>
      <c r="AD122" s="84">
        <f t="shared" si="67"/>
        <v>200.63999999999999</v>
      </c>
      <c r="AE122" s="84"/>
      <c r="AF122" s="84"/>
      <c r="AG122" s="84">
        <f t="shared" si="68"/>
        <v>737.51999999999998</v>
      </c>
      <c r="AH122" s="84">
        <f t="shared" si="69"/>
        <v>185.03999999999999</v>
      </c>
      <c r="AI122" s="84"/>
      <c r="AJ122" s="84"/>
      <c r="AK122" s="84">
        <f t="shared" si="70"/>
        <v>1639.2</v>
      </c>
      <c r="AL122" s="84">
        <f t="shared" si="71"/>
        <v>181.68000000000001</v>
      </c>
      <c r="BM122" s="84">
        <v>112.40000000000001</v>
      </c>
      <c r="BN122" s="84">
        <v>99.400000000000006</v>
      </c>
      <c r="BO122" s="84" t="s">
        <v>175</v>
      </c>
      <c r="BQ122" s="84">
        <v>174</v>
      </c>
      <c r="BR122" s="84">
        <v>83.599999999999994</v>
      </c>
      <c r="BS122" s="84" t="s">
        <v>175</v>
      </c>
      <c r="BT122" s="84"/>
      <c r="BU122" s="84">
        <v>307.30000000000001</v>
      </c>
      <c r="BV122" s="84">
        <v>77.099999999999994</v>
      </c>
      <c r="BW122" s="84" t="s">
        <v>175</v>
      </c>
      <c r="BX122" s="84"/>
      <c r="BY122" s="84">
        <v>683</v>
      </c>
      <c r="BZ122" s="84">
        <v>75.700000000000003</v>
      </c>
      <c r="CA122" s="84" t="s">
        <v>175</v>
      </c>
      <c r="CB122" s="84"/>
      <c r="CC122" s="84">
        <v>140</v>
      </c>
      <c r="CD122" s="84">
        <v>140</v>
      </c>
      <c r="CE122" s="84">
        <v>140</v>
      </c>
      <c r="CF122" s="84">
        <v>140</v>
      </c>
      <c r="CG122" s="84">
        <v>140</v>
      </c>
      <c r="CH122" s="84">
        <v>140</v>
      </c>
      <c r="CI122" s="84">
        <v>140</v>
      </c>
      <c r="CJ122" s="84">
        <v>140</v>
      </c>
    </row>
    <row r="123" s="76" customFormat="1">
      <c r="A123" s="77" t="s">
        <v>37</v>
      </c>
      <c r="B123" s="76" t="s">
        <v>145</v>
      </c>
      <c r="C123" s="76" t="s">
        <v>561</v>
      </c>
      <c r="D123" s="161" t="s">
        <v>533</v>
      </c>
      <c r="E123" s="161" t="s">
        <v>534</v>
      </c>
      <c r="F123" s="76" t="s">
        <v>181</v>
      </c>
      <c r="G123" s="76" t="s">
        <v>556</v>
      </c>
      <c r="H123" s="76" t="s">
        <v>193</v>
      </c>
      <c r="I123" s="76" t="s">
        <v>167</v>
      </c>
      <c r="J123" s="76" t="s">
        <v>168</v>
      </c>
      <c r="K123" s="76" t="s">
        <v>301</v>
      </c>
      <c r="O123" s="76" t="s">
        <v>408</v>
      </c>
      <c r="P123" s="76" t="s">
        <v>171</v>
      </c>
      <c r="Q123" s="76" t="s">
        <v>171</v>
      </c>
      <c r="R123" s="77" t="s">
        <v>557</v>
      </c>
      <c r="T123" s="99" t="s">
        <v>174</v>
      </c>
      <c r="W123" s="86">
        <v>42.799999999999997</v>
      </c>
      <c r="Y123" s="84">
        <f t="shared" si="64"/>
        <v>384</v>
      </c>
      <c r="Z123" s="84">
        <f t="shared" si="65"/>
        <v>266.63999999999999</v>
      </c>
      <c r="AA123" s="84"/>
      <c r="AB123" s="84"/>
      <c r="AC123" s="84">
        <f t="shared" si="66"/>
        <v>620.15999999999997</v>
      </c>
      <c r="AD123" s="84">
        <f t="shared" si="67"/>
        <v>268.56</v>
      </c>
      <c r="AE123" s="84"/>
      <c r="AF123" s="84"/>
      <c r="AG123" s="84">
        <f t="shared" si="68"/>
        <v>970.07999999999993</v>
      </c>
      <c r="AH123" s="84">
        <f t="shared" si="69"/>
        <v>257.75999999999999</v>
      </c>
      <c r="AI123" s="84"/>
      <c r="AJ123" s="84"/>
      <c r="AK123" s="84">
        <f t="shared" si="70"/>
        <v>2281.9200000000001</v>
      </c>
      <c r="AL123" s="84">
        <f t="shared" si="71"/>
        <v>254.16</v>
      </c>
      <c r="BM123" s="84">
        <v>160</v>
      </c>
      <c r="BN123" s="84">
        <v>111.09999999999999</v>
      </c>
      <c r="BO123" s="84" t="s">
        <v>175</v>
      </c>
      <c r="BQ123" s="84">
        <v>258.39999999999998</v>
      </c>
      <c r="BR123" s="84">
        <v>111.90000000000001</v>
      </c>
      <c r="BS123" s="84" t="s">
        <v>175</v>
      </c>
      <c r="BT123" s="84"/>
      <c r="BU123" s="84">
        <v>404.19999999999999</v>
      </c>
      <c r="BV123" s="84">
        <v>107.40000000000001</v>
      </c>
      <c r="BW123" s="84" t="s">
        <v>175</v>
      </c>
      <c r="BX123" s="84"/>
      <c r="BY123" s="84">
        <v>950.79999999999995</v>
      </c>
      <c r="BZ123" s="84">
        <v>105.90000000000001</v>
      </c>
      <c r="CA123" s="84" t="s">
        <v>175</v>
      </c>
      <c r="CC123" s="84">
        <v>140</v>
      </c>
      <c r="CD123" s="84">
        <v>140</v>
      </c>
      <c r="CE123" s="84">
        <v>140</v>
      </c>
      <c r="CF123" s="84">
        <v>140</v>
      </c>
      <c r="CG123" s="84">
        <v>140</v>
      </c>
      <c r="CH123" s="84">
        <v>140</v>
      </c>
      <c r="CI123" s="84">
        <v>140</v>
      </c>
      <c r="CJ123" s="84">
        <v>140</v>
      </c>
    </row>
    <row r="124" s="76" customFormat="1" ht="15.75" customHeight="1">
      <c r="A124" s="77" t="s">
        <v>37</v>
      </c>
      <c r="B124" s="76" t="s">
        <v>145</v>
      </c>
      <c r="C124" s="76" t="s">
        <v>562</v>
      </c>
      <c r="D124" s="161" t="s">
        <v>533</v>
      </c>
      <c r="E124" s="161" t="s">
        <v>534</v>
      </c>
      <c r="F124" s="76" t="s">
        <v>181</v>
      </c>
      <c r="G124" s="76" t="s">
        <v>556</v>
      </c>
      <c r="H124" s="76" t="s">
        <v>193</v>
      </c>
      <c r="I124" s="76" t="s">
        <v>167</v>
      </c>
      <c r="J124" s="76" t="s">
        <v>168</v>
      </c>
      <c r="K124" s="76" t="s">
        <v>442</v>
      </c>
      <c r="O124" s="76" t="s">
        <v>408</v>
      </c>
      <c r="P124" s="76" t="s">
        <v>171</v>
      </c>
      <c r="Q124" s="76" t="s">
        <v>171</v>
      </c>
      <c r="R124" s="77" t="s">
        <v>557</v>
      </c>
      <c r="T124" s="99" t="s">
        <v>174</v>
      </c>
      <c r="W124" s="86">
        <v>42.799999999999997</v>
      </c>
      <c r="Y124" s="84">
        <f t="shared" si="64"/>
        <v>384</v>
      </c>
      <c r="Z124" s="84">
        <f t="shared" si="65"/>
        <v>266.63999999999999</v>
      </c>
      <c r="AA124" s="84"/>
      <c r="AB124" s="84"/>
      <c r="AC124" s="84">
        <f t="shared" si="66"/>
        <v>620.15999999999997</v>
      </c>
      <c r="AD124" s="84">
        <f t="shared" si="67"/>
        <v>268.56</v>
      </c>
      <c r="AE124" s="84"/>
      <c r="AF124" s="84"/>
      <c r="AG124" s="84">
        <f t="shared" si="68"/>
        <v>970.07999999999993</v>
      </c>
      <c r="AH124" s="84">
        <f t="shared" si="69"/>
        <v>257.75999999999999</v>
      </c>
      <c r="AI124" s="84"/>
      <c r="AJ124" s="84"/>
      <c r="AK124" s="84">
        <f t="shared" si="70"/>
        <v>2281.9200000000001</v>
      </c>
      <c r="AL124" s="84">
        <f t="shared" si="71"/>
        <v>254.16</v>
      </c>
      <c r="BM124" s="84">
        <v>160</v>
      </c>
      <c r="BN124" s="84">
        <v>111.09999999999999</v>
      </c>
      <c r="BO124" s="84" t="s">
        <v>175</v>
      </c>
      <c r="BQ124" s="84">
        <v>258.39999999999998</v>
      </c>
      <c r="BR124" s="84">
        <v>111.90000000000001</v>
      </c>
      <c r="BS124" s="84" t="s">
        <v>175</v>
      </c>
      <c r="BT124" s="84"/>
      <c r="BU124" s="84">
        <v>404.19999999999999</v>
      </c>
      <c r="BV124" s="84">
        <v>107.40000000000001</v>
      </c>
      <c r="BW124" s="84" t="s">
        <v>175</v>
      </c>
      <c r="BX124" s="84"/>
      <c r="BY124" s="84">
        <v>950.79999999999995</v>
      </c>
      <c r="BZ124" s="84">
        <v>105.90000000000001</v>
      </c>
      <c r="CA124" s="84" t="s">
        <v>175</v>
      </c>
      <c r="CC124" s="84">
        <v>140</v>
      </c>
      <c r="CD124" s="84">
        <v>140</v>
      </c>
      <c r="CE124" s="84">
        <v>140</v>
      </c>
      <c r="CF124" s="84">
        <v>140</v>
      </c>
      <c r="CG124" s="84">
        <v>140</v>
      </c>
      <c r="CH124" s="84">
        <v>140</v>
      </c>
      <c r="CI124" s="84">
        <v>140</v>
      </c>
      <c r="CJ124" s="84">
        <v>140</v>
      </c>
    </row>
    <row r="125">
      <c r="A125" s="57" t="s">
        <v>38</v>
      </c>
      <c r="B125" s="51" t="s">
        <v>150</v>
      </c>
      <c r="C125" s="51" t="s">
        <v>563</v>
      </c>
      <c r="D125" s="161" t="s">
        <v>564</v>
      </c>
      <c r="E125" s="177" t="s">
        <v>565</v>
      </c>
      <c r="F125" s="51" t="s">
        <v>181</v>
      </c>
      <c r="H125" s="51" t="s">
        <v>566</v>
      </c>
      <c r="I125" s="51" t="s">
        <v>167</v>
      </c>
      <c r="J125" s="51" t="s">
        <v>300</v>
      </c>
      <c r="K125" s="51" t="s">
        <v>301</v>
      </c>
      <c r="L125" s="51" t="s">
        <v>167</v>
      </c>
      <c r="M125" s="51" t="s">
        <v>300</v>
      </c>
      <c r="N125" s="51" t="s">
        <v>301</v>
      </c>
      <c r="O125" s="51" t="s">
        <v>408</v>
      </c>
      <c r="P125" s="51" t="s">
        <v>171</v>
      </c>
      <c r="Q125" s="51" t="s">
        <v>171</v>
      </c>
      <c r="R125" s="57" t="s">
        <v>482</v>
      </c>
      <c r="T125" s="106" t="s">
        <v>174</v>
      </c>
      <c r="W125" s="64">
        <v>22.699999999999999</v>
      </c>
      <c r="Y125" s="62">
        <f t="shared" si="64"/>
        <v>247.92000000000002</v>
      </c>
      <c r="Z125" s="62">
        <f t="shared" si="65"/>
        <v>250.56</v>
      </c>
      <c r="AA125" s="62"/>
      <c r="AB125" s="62"/>
      <c r="AC125" s="62">
        <f t="shared" si="66"/>
        <v>231.36000000000001</v>
      </c>
      <c r="AD125" s="62">
        <f t="shared" si="67"/>
        <v>219.84</v>
      </c>
      <c r="AE125" s="62"/>
      <c r="AF125" s="62"/>
      <c r="AG125" s="62">
        <f t="shared" si="68"/>
        <v>706.79999999999995</v>
      </c>
      <c r="AH125" s="62">
        <f t="shared" si="69"/>
        <v>209.03999999999999</v>
      </c>
      <c r="AI125" s="62"/>
      <c r="AJ125" s="62"/>
      <c r="AK125" s="62">
        <f t="shared" si="70"/>
        <v>1802.1599999999999</v>
      </c>
      <c r="AL125" s="62">
        <f t="shared" si="71"/>
        <v>201.12</v>
      </c>
      <c r="BM125" s="62">
        <v>103.3</v>
      </c>
      <c r="BN125" s="62">
        <v>104.40000000000001</v>
      </c>
      <c r="BO125" s="62" t="s">
        <v>175</v>
      </c>
      <c r="BQ125" s="62">
        <v>96.400000000000006</v>
      </c>
      <c r="BR125" s="62">
        <v>91.599999999999994</v>
      </c>
      <c r="BS125" s="62" t="s">
        <v>175</v>
      </c>
      <c r="BU125" s="62">
        <v>294.5</v>
      </c>
      <c r="BV125" s="62">
        <v>87.099999999999994</v>
      </c>
      <c r="BW125" s="62" t="s">
        <v>175</v>
      </c>
      <c r="BY125" s="62">
        <v>750.89999999999998</v>
      </c>
      <c r="BZ125" s="62">
        <v>83.799999999999997</v>
      </c>
      <c r="CA125" s="62" t="s">
        <v>175</v>
      </c>
      <c r="CC125" s="62">
        <v>140</v>
      </c>
      <c r="CD125" s="62">
        <v>140</v>
      </c>
      <c r="CE125" s="62">
        <v>140</v>
      </c>
      <c r="CF125" s="62">
        <v>140</v>
      </c>
      <c r="CG125" s="62">
        <v>140</v>
      </c>
      <c r="CH125" s="62">
        <v>140</v>
      </c>
      <c r="CI125" s="62">
        <v>140</v>
      </c>
      <c r="CJ125" s="62">
        <v>140</v>
      </c>
    </row>
    <row r="126">
      <c r="A126" s="57" t="s">
        <v>38</v>
      </c>
      <c r="B126" s="51" t="s">
        <v>150</v>
      </c>
      <c r="C126" s="51" t="s">
        <v>567</v>
      </c>
      <c r="D126" s="161" t="s">
        <v>564</v>
      </c>
      <c r="E126" s="177" t="s">
        <v>565</v>
      </c>
      <c r="F126" s="51" t="s">
        <v>181</v>
      </c>
      <c r="H126" s="51" t="s">
        <v>566</v>
      </c>
      <c r="I126" s="51" t="s">
        <v>167</v>
      </c>
      <c r="J126" s="51" t="s">
        <v>300</v>
      </c>
      <c r="K126" s="51" t="s">
        <v>442</v>
      </c>
      <c r="L126" s="51" t="s">
        <v>167</v>
      </c>
      <c r="M126" s="51" t="s">
        <v>300</v>
      </c>
      <c r="N126" s="51" t="s">
        <v>442</v>
      </c>
      <c r="O126" s="51" t="s">
        <v>408</v>
      </c>
      <c r="P126" s="51" t="s">
        <v>171</v>
      </c>
      <c r="Q126" s="51" t="s">
        <v>171</v>
      </c>
      <c r="R126" s="57" t="s">
        <v>482</v>
      </c>
      <c r="T126" s="106" t="s">
        <v>174</v>
      </c>
      <c r="W126" s="64">
        <v>22.699999999999999</v>
      </c>
      <c r="Y126" s="62">
        <f t="shared" si="64"/>
        <v>247.92000000000002</v>
      </c>
      <c r="Z126" s="62">
        <f t="shared" si="65"/>
        <v>250.56</v>
      </c>
      <c r="AA126" s="62"/>
      <c r="AB126" s="62"/>
      <c r="AC126" s="62">
        <f t="shared" si="66"/>
        <v>231.36000000000001</v>
      </c>
      <c r="AD126" s="62">
        <f t="shared" si="67"/>
        <v>219.84</v>
      </c>
      <c r="AE126" s="62"/>
      <c r="AF126" s="62"/>
      <c r="AG126" s="62">
        <f t="shared" si="68"/>
        <v>706.79999999999995</v>
      </c>
      <c r="AH126" s="62">
        <f t="shared" si="69"/>
        <v>209.03999999999999</v>
      </c>
      <c r="AI126" s="62"/>
      <c r="AJ126" s="62"/>
      <c r="AK126" s="62">
        <f t="shared" si="70"/>
        <v>1802.1599999999999</v>
      </c>
      <c r="AL126" s="62">
        <f t="shared" si="71"/>
        <v>201.12</v>
      </c>
      <c r="BM126" s="62">
        <v>103.3</v>
      </c>
      <c r="BN126" s="62">
        <v>104.40000000000001</v>
      </c>
      <c r="BO126" s="62" t="s">
        <v>175</v>
      </c>
      <c r="BQ126" s="62">
        <v>96.400000000000006</v>
      </c>
      <c r="BR126" s="62">
        <v>91.599999999999994</v>
      </c>
      <c r="BS126" s="62" t="s">
        <v>175</v>
      </c>
      <c r="BU126" s="62">
        <v>294.5</v>
      </c>
      <c r="BV126" s="62">
        <v>87.099999999999994</v>
      </c>
      <c r="BW126" s="62" t="s">
        <v>175</v>
      </c>
      <c r="BY126" s="62">
        <v>750.89999999999998</v>
      </c>
      <c r="BZ126" s="62">
        <v>83.799999999999997</v>
      </c>
      <c r="CA126" s="62" t="s">
        <v>175</v>
      </c>
      <c r="CC126" s="62">
        <v>140</v>
      </c>
      <c r="CD126" s="62">
        <v>140</v>
      </c>
      <c r="CE126" s="62">
        <v>140</v>
      </c>
      <c r="CF126" s="62">
        <v>140</v>
      </c>
      <c r="CG126" s="62">
        <v>140</v>
      </c>
      <c r="CH126" s="62">
        <v>140</v>
      </c>
      <c r="CI126" s="62">
        <v>140</v>
      </c>
      <c r="CJ126" s="62">
        <v>140</v>
      </c>
    </row>
    <row r="127">
      <c r="A127" s="57" t="s">
        <v>38</v>
      </c>
      <c r="B127" s="51" t="s">
        <v>150</v>
      </c>
      <c r="C127" s="51" t="s">
        <v>568</v>
      </c>
      <c r="D127" s="161" t="s">
        <v>564</v>
      </c>
      <c r="E127" s="177" t="s">
        <v>565</v>
      </c>
      <c r="F127" s="51" t="s">
        <v>181</v>
      </c>
      <c r="H127" s="51" t="s">
        <v>566</v>
      </c>
      <c r="I127" s="51" t="s">
        <v>167</v>
      </c>
      <c r="J127" s="51" t="s">
        <v>286</v>
      </c>
      <c r="K127" s="51" t="s">
        <v>301</v>
      </c>
      <c r="L127" s="51" t="s">
        <v>167</v>
      </c>
      <c r="M127" s="51" t="s">
        <v>286</v>
      </c>
      <c r="N127" s="51" t="s">
        <v>301</v>
      </c>
      <c r="O127" s="51" t="s">
        <v>408</v>
      </c>
      <c r="P127" s="51" t="s">
        <v>171</v>
      </c>
      <c r="Q127" s="51" t="s">
        <v>171</v>
      </c>
      <c r="R127" s="57" t="s">
        <v>482</v>
      </c>
      <c r="T127" s="106" t="s">
        <v>174</v>
      </c>
      <c r="W127" s="64">
        <v>29</v>
      </c>
      <c r="Y127" s="62">
        <f t="shared" si="64"/>
        <v>257.75999999999999</v>
      </c>
      <c r="Z127" s="62">
        <f t="shared" si="65"/>
        <v>255.59999999999999</v>
      </c>
      <c r="AA127" s="62"/>
      <c r="AB127" s="62"/>
      <c r="AC127" s="62">
        <f t="shared" si="66"/>
        <v>240.23999999999998</v>
      </c>
      <c r="AD127" s="62">
        <f t="shared" si="67"/>
        <v>241.68000000000001</v>
      </c>
      <c r="AE127" s="62"/>
      <c r="AF127" s="62"/>
      <c r="AG127" s="62">
        <f t="shared" si="68"/>
        <v>767.27999999999997</v>
      </c>
      <c r="AH127" s="62">
        <f t="shared" si="69"/>
        <v>230.88</v>
      </c>
      <c r="AI127" s="62"/>
      <c r="AJ127" s="62"/>
      <c r="AK127" s="62">
        <f t="shared" si="70"/>
        <v>2251.6800000000003</v>
      </c>
      <c r="AL127" s="62">
        <f t="shared" si="71"/>
        <v>219.59999999999999</v>
      </c>
      <c r="BM127" s="62">
        <v>107.40000000000001</v>
      </c>
      <c r="BN127" s="62">
        <v>106.5</v>
      </c>
      <c r="BO127" s="62" t="s">
        <v>175</v>
      </c>
      <c r="BQ127" s="62">
        <v>100.09999999999999</v>
      </c>
      <c r="BR127" s="62">
        <v>100.7</v>
      </c>
      <c r="BS127" s="62" t="s">
        <v>175</v>
      </c>
      <c r="BU127" s="62">
        <v>319.69999999999999</v>
      </c>
      <c r="BV127" s="62">
        <v>96.200000000000003</v>
      </c>
      <c r="BW127" s="62" t="s">
        <v>175</v>
      </c>
      <c r="BY127" s="62">
        <v>938.20000000000005</v>
      </c>
      <c r="BZ127" s="62">
        <v>91.5</v>
      </c>
      <c r="CA127" s="62" t="s">
        <v>175</v>
      </c>
      <c r="CC127" s="62">
        <v>140</v>
      </c>
      <c r="CD127" s="62">
        <v>140</v>
      </c>
      <c r="CE127" s="62">
        <v>140</v>
      </c>
      <c r="CF127" s="62">
        <v>140</v>
      </c>
      <c r="CG127" s="62">
        <v>140</v>
      </c>
      <c r="CH127" s="62">
        <v>140</v>
      </c>
      <c r="CI127" s="62">
        <v>140</v>
      </c>
      <c r="CJ127" s="62">
        <v>140</v>
      </c>
    </row>
    <row r="128">
      <c r="A128" s="57" t="s">
        <v>38</v>
      </c>
      <c r="B128" s="51" t="s">
        <v>150</v>
      </c>
      <c r="C128" s="51" t="s">
        <v>569</v>
      </c>
      <c r="D128" s="161" t="s">
        <v>564</v>
      </c>
      <c r="E128" s="177" t="s">
        <v>565</v>
      </c>
      <c r="F128" s="51" t="s">
        <v>181</v>
      </c>
      <c r="H128" s="51" t="s">
        <v>566</v>
      </c>
      <c r="I128" s="51" t="s">
        <v>167</v>
      </c>
      <c r="J128" s="51" t="s">
        <v>286</v>
      </c>
      <c r="K128" s="51" t="s">
        <v>442</v>
      </c>
      <c r="L128" s="51" t="s">
        <v>167</v>
      </c>
      <c r="M128" s="51" t="s">
        <v>286</v>
      </c>
      <c r="N128" s="51" t="s">
        <v>442</v>
      </c>
      <c r="O128" s="51" t="s">
        <v>408</v>
      </c>
      <c r="P128" s="51" t="s">
        <v>171</v>
      </c>
      <c r="Q128" s="51" t="s">
        <v>171</v>
      </c>
      <c r="R128" s="57" t="s">
        <v>482</v>
      </c>
      <c r="T128" s="106" t="s">
        <v>174</v>
      </c>
      <c r="W128" s="64">
        <v>29</v>
      </c>
      <c r="Y128" s="62">
        <f t="shared" si="64"/>
        <v>257.75999999999999</v>
      </c>
      <c r="Z128" s="62">
        <f t="shared" si="65"/>
        <v>255.59999999999999</v>
      </c>
      <c r="AA128" s="62"/>
      <c r="AB128" s="62"/>
      <c r="AC128" s="62">
        <f t="shared" si="66"/>
        <v>240.23999999999998</v>
      </c>
      <c r="AD128" s="62">
        <f t="shared" si="67"/>
        <v>241.68000000000001</v>
      </c>
      <c r="AE128" s="62"/>
      <c r="AF128" s="62"/>
      <c r="AG128" s="62">
        <f t="shared" si="68"/>
        <v>767.27999999999997</v>
      </c>
      <c r="AH128" s="62">
        <f t="shared" si="69"/>
        <v>230.88</v>
      </c>
      <c r="AI128" s="62"/>
      <c r="AJ128" s="62"/>
      <c r="AK128" s="62">
        <f t="shared" si="70"/>
        <v>2251.6800000000003</v>
      </c>
      <c r="AL128" s="62">
        <f t="shared" si="71"/>
        <v>219.59999999999999</v>
      </c>
      <c r="BM128" s="62">
        <v>107.40000000000001</v>
      </c>
      <c r="BN128" s="62">
        <v>106.5</v>
      </c>
      <c r="BO128" s="62" t="s">
        <v>175</v>
      </c>
      <c r="BQ128" s="62">
        <v>100.09999999999999</v>
      </c>
      <c r="BR128" s="62">
        <v>100.7</v>
      </c>
      <c r="BS128" s="62" t="s">
        <v>175</v>
      </c>
      <c r="BU128" s="62">
        <v>319.69999999999999</v>
      </c>
      <c r="BV128" s="62">
        <v>96.200000000000003</v>
      </c>
      <c r="BW128" s="62" t="s">
        <v>175</v>
      </c>
      <c r="BY128" s="62">
        <v>938.20000000000005</v>
      </c>
      <c r="BZ128" s="62">
        <v>91.5</v>
      </c>
      <c r="CA128" s="62" t="s">
        <v>175</v>
      </c>
      <c r="CC128" s="62">
        <v>140</v>
      </c>
      <c r="CD128" s="62">
        <v>140</v>
      </c>
      <c r="CE128" s="62">
        <v>140</v>
      </c>
      <c r="CF128" s="62">
        <v>140</v>
      </c>
      <c r="CG128" s="62">
        <v>140</v>
      </c>
      <c r="CH128" s="62">
        <v>140</v>
      </c>
      <c r="CI128" s="62">
        <v>140</v>
      </c>
      <c r="CJ128" s="62">
        <v>140</v>
      </c>
    </row>
    <row r="129">
      <c r="A129" s="57" t="s">
        <v>38</v>
      </c>
      <c r="B129" s="51" t="s">
        <v>150</v>
      </c>
      <c r="C129" s="51" t="s">
        <v>570</v>
      </c>
      <c r="D129" s="161" t="s">
        <v>564</v>
      </c>
      <c r="E129" s="177" t="s">
        <v>565</v>
      </c>
      <c r="F129" s="51" t="s">
        <v>181</v>
      </c>
      <c r="H129" s="51" t="s">
        <v>566</v>
      </c>
      <c r="I129" s="51" t="s">
        <v>167</v>
      </c>
      <c r="J129" s="51" t="s">
        <v>183</v>
      </c>
      <c r="K129" s="51" t="s">
        <v>301</v>
      </c>
      <c r="L129" s="51" t="s">
        <v>167</v>
      </c>
      <c r="M129" s="51" t="s">
        <v>183</v>
      </c>
      <c r="N129" s="51" t="s">
        <v>301</v>
      </c>
      <c r="O129" s="51" t="s">
        <v>408</v>
      </c>
      <c r="P129" s="51" t="s">
        <v>171</v>
      </c>
      <c r="Q129" s="51" t="s">
        <v>171</v>
      </c>
      <c r="R129" s="57" t="s">
        <v>482</v>
      </c>
      <c r="T129" s="106" t="s">
        <v>174</v>
      </c>
      <c r="W129" s="64">
        <v>34</v>
      </c>
      <c r="Y129" s="62">
        <f t="shared" si="64"/>
        <v>247.92000000000002</v>
      </c>
      <c r="Z129" s="62">
        <f t="shared" si="65"/>
        <v>255.59999999999999</v>
      </c>
      <c r="AA129" s="62"/>
      <c r="AB129" s="62"/>
      <c r="AC129" s="62">
        <f t="shared" si="66"/>
        <v>236.40000000000001</v>
      </c>
      <c r="AD129" s="62">
        <f t="shared" si="67"/>
        <v>245.03999999999999</v>
      </c>
      <c r="AE129" s="62"/>
      <c r="AF129" s="62"/>
      <c r="AG129" s="62">
        <f t="shared" si="68"/>
        <v>774</v>
      </c>
      <c r="AH129" s="62">
        <f t="shared" si="69"/>
        <v>239.76000000000002</v>
      </c>
      <c r="AI129" s="62"/>
      <c r="AJ129" s="62"/>
      <c r="AK129" s="62">
        <f t="shared" si="70"/>
        <v>2439.5999999999999</v>
      </c>
      <c r="AL129" s="62">
        <f t="shared" si="71"/>
        <v>225.12</v>
      </c>
      <c r="BM129" s="62">
        <v>103.3</v>
      </c>
      <c r="BN129" s="62">
        <v>106.5</v>
      </c>
      <c r="BO129" s="62" t="s">
        <v>175</v>
      </c>
      <c r="BQ129" s="62">
        <v>98.5</v>
      </c>
      <c r="BR129" s="62">
        <v>102.09999999999999</v>
      </c>
      <c r="BS129" s="62" t="s">
        <v>175</v>
      </c>
      <c r="BU129" s="62">
        <v>322.5</v>
      </c>
      <c r="BV129" s="62">
        <v>99.900000000000006</v>
      </c>
      <c r="BW129" s="62" t="s">
        <v>175</v>
      </c>
      <c r="BY129" s="62">
        <v>1016.5</v>
      </c>
      <c r="BZ129" s="62">
        <v>93.799999999999997</v>
      </c>
      <c r="CA129" s="62" t="s">
        <v>175</v>
      </c>
      <c r="CC129" s="62">
        <v>140</v>
      </c>
      <c r="CD129" s="62">
        <v>140</v>
      </c>
      <c r="CE129" s="62">
        <v>140</v>
      </c>
      <c r="CF129" s="62">
        <v>140</v>
      </c>
      <c r="CG129" s="62">
        <v>140</v>
      </c>
      <c r="CH129" s="62">
        <v>140</v>
      </c>
      <c r="CI129" s="62">
        <v>140</v>
      </c>
      <c r="CJ129" s="62">
        <v>140</v>
      </c>
    </row>
    <row r="130">
      <c r="A130" s="57" t="s">
        <v>38</v>
      </c>
      <c r="B130" s="51" t="s">
        <v>150</v>
      </c>
      <c r="C130" s="51" t="s">
        <v>571</v>
      </c>
      <c r="D130" s="161" t="s">
        <v>564</v>
      </c>
      <c r="E130" s="177" t="s">
        <v>565</v>
      </c>
      <c r="F130" s="51" t="s">
        <v>181</v>
      </c>
      <c r="H130" s="51" t="s">
        <v>566</v>
      </c>
      <c r="I130" s="51" t="s">
        <v>167</v>
      </c>
      <c r="J130" s="51" t="s">
        <v>183</v>
      </c>
      <c r="K130" s="51" t="s">
        <v>442</v>
      </c>
      <c r="L130" s="51" t="s">
        <v>167</v>
      </c>
      <c r="M130" s="51" t="s">
        <v>183</v>
      </c>
      <c r="N130" s="51" t="s">
        <v>442</v>
      </c>
      <c r="O130" s="51" t="s">
        <v>408</v>
      </c>
      <c r="P130" s="51" t="s">
        <v>171</v>
      </c>
      <c r="Q130" s="51" t="s">
        <v>171</v>
      </c>
      <c r="R130" s="57" t="s">
        <v>482</v>
      </c>
      <c r="T130" s="106" t="s">
        <v>174</v>
      </c>
      <c r="W130" s="64">
        <v>34</v>
      </c>
      <c r="Y130" s="62">
        <f t="shared" si="64"/>
        <v>247.92000000000002</v>
      </c>
      <c r="Z130" s="62">
        <f t="shared" si="65"/>
        <v>255.59999999999999</v>
      </c>
      <c r="AA130" s="62"/>
      <c r="AB130" s="62"/>
      <c r="AC130" s="62">
        <f t="shared" si="66"/>
        <v>236.40000000000001</v>
      </c>
      <c r="AD130" s="62">
        <f t="shared" si="67"/>
        <v>245.03999999999999</v>
      </c>
      <c r="AE130" s="62"/>
      <c r="AF130" s="62"/>
      <c r="AG130" s="62">
        <f t="shared" si="68"/>
        <v>774</v>
      </c>
      <c r="AH130" s="62">
        <f t="shared" si="69"/>
        <v>239.76000000000002</v>
      </c>
      <c r="AI130" s="62"/>
      <c r="AJ130" s="62"/>
      <c r="AK130" s="62">
        <f t="shared" si="70"/>
        <v>2439.5999999999999</v>
      </c>
      <c r="AL130" s="62">
        <f t="shared" si="71"/>
        <v>225.12</v>
      </c>
      <c r="BM130" s="62">
        <v>103.3</v>
      </c>
      <c r="BN130" s="62">
        <v>106.5</v>
      </c>
      <c r="BO130" s="62" t="s">
        <v>175</v>
      </c>
      <c r="BQ130" s="62">
        <v>98.5</v>
      </c>
      <c r="BR130" s="62">
        <v>102.09999999999999</v>
      </c>
      <c r="BS130" s="62" t="s">
        <v>175</v>
      </c>
      <c r="BU130" s="62">
        <v>322.5</v>
      </c>
      <c r="BV130" s="62">
        <v>99.900000000000006</v>
      </c>
      <c r="BW130" s="62" t="s">
        <v>175</v>
      </c>
      <c r="BY130" s="62">
        <v>1016.5</v>
      </c>
      <c r="BZ130" s="62">
        <v>93.799999999999997</v>
      </c>
      <c r="CA130" s="62" t="s">
        <v>175</v>
      </c>
      <c r="CC130" s="62">
        <v>140</v>
      </c>
      <c r="CD130" s="62">
        <v>140</v>
      </c>
      <c r="CE130" s="62">
        <v>140</v>
      </c>
      <c r="CF130" s="62">
        <v>140</v>
      </c>
      <c r="CG130" s="62">
        <v>140</v>
      </c>
      <c r="CH130" s="62">
        <v>140</v>
      </c>
      <c r="CI130" s="62">
        <v>140</v>
      </c>
      <c r="CJ130" s="62">
        <v>140</v>
      </c>
    </row>
    <row r="131" s="76" customFormat="1">
      <c r="A131" s="77" t="s">
        <v>38</v>
      </c>
      <c r="B131" s="76" t="s">
        <v>150</v>
      </c>
      <c r="C131" s="76" t="s">
        <v>572</v>
      </c>
      <c r="D131" s="161" t="s">
        <v>564</v>
      </c>
      <c r="E131" s="177" t="s">
        <v>565</v>
      </c>
      <c r="F131" s="76" t="s">
        <v>181</v>
      </c>
      <c r="H131" s="76" t="s">
        <v>573</v>
      </c>
      <c r="I131" s="76" t="s">
        <v>167</v>
      </c>
      <c r="J131" s="76" t="s">
        <v>300</v>
      </c>
      <c r="K131" s="76" t="s">
        <v>301</v>
      </c>
      <c r="L131" s="76" t="s">
        <v>167</v>
      </c>
      <c r="M131" s="76" t="s">
        <v>300</v>
      </c>
      <c r="N131" s="76" t="s">
        <v>301</v>
      </c>
      <c r="O131" s="76" t="s">
        <v>408</v>
      </c>
      <c r="P131" s="76" t="s">
        <v>171</v>
      </c>
      <c r="Q131" s="76" t="s">
        <v>171</v>
      </c>
      <c r="R131" s="77" t="s">
        <v>482</v>
      </c>
      <c r="T131" s="99" t="s">
        <v>174</v>
      </c>
      <c r="W131" s="86">
        <v>34</v>
      </c>
      <c r="Y131" s="84">
        <f t="shared" si="64"/>
        <v>315.36000000000001</v>
      </c>
      <c r="Z131" s="84">
        <f t="shared" si="65"/>
        <v>321.12</v>
      </c>
      <c r="AA131" s="84"/>
      <c r="AB131" s="84"/>
      <c r="AC131" s="84">
        <f t="shared" si="66"/>
        <v>279.60000000000002</v>
      </c>
      <c r="AD131" s="84">
        <f t="shared" si="67"/>
        <v>291.36000000000001</v>
      </c>
      <c r="AE131" s="84"/>
      <c r="AF131" s="84"/>
      <c r="AG131" s="84">
        <f t="shared" si="68"/>
        <v>1555.4400000000001</v>
      </c>
      <c r="AH131" s="84">
        <f t="shared" si="69"/>
        <v>234</v>
      </c>
      <c r="AI131" s="84"/>
      <c r="AJ131" s="84"/>
      <c r="AK131" s="84">
        <f t="shared" si="70"/>
        <v>2068.0799999999999</v>
      </c>
      <c r="AL131" s="84">
        <f t="shared" si="71"/>
        <v>214.31999999999999</v>
      </c>
      <c r="BM131" s="84">
        <v>131.40000000000001</v>
      </c>
      <c r="BN131" s="84">
        <v>133.80000000000001</v>
      </c>
      <c r="BO131" s="84" t="s">
        <v>175</v>
      </c>
      <c r="BQ131" s="84">
        <v>116.5</v>
      </c>
      <c r="BR131" s="84">
        <v>121.40000000000001</v>
      </c>
      <c r="BS131" s="84" t="s">
        <v>175</v>
      </c>
      <c r="BU131" s="84">
        <v>648.10000000000002</v>
      </c>
      <c r="BV131" s="84">
        <v>97.5</v>
      </c>
      <c r="BW131" s="84" t="s">
        <v>175</v>
      </c>
      <c r="BY131" s="84">
        <v>861.70000000000005</v>
      </c>
      <c r="BZ131" s="84">
        <v>89.299999999999997</v>
      </c>
      <c r="CA131" s="84" t="s">
        <v>175</v>
      </c>
      <c r="CC131" s="84">
        <v>140</v>
      </c>
      <c r="CD131" s="84">
        <v>140</v>
      </c>
      <c r="CE131" s="84">
        <v>140</v>
      </c>
      <c r="CF131" s="84">
        <v>140</v>
      </c>
      <c r="CG131" s="84">
        <v>140</v>
      </c>
      <c r="CH131" s="84">
        <v>140</v>
      </c>
      <c r="CI131" s="84">
        <v>140</v>
      </c>
      <c r="CJ131" s="84">
        <v>140</v>
      </c>
    </row>
    <row r="132" s="76" customFormat="1">
      <c r="A132" s="77" t="s">
        <v>38</v>
      </c>
      <c r="B132" s="76" t="s">
        <v>150</v>
      </c>
      <c r="C132" s="76" t="s">
        <v>574</v>
      </c>
      <c r="D132" s="161" t="s">
        <v>564</v>
      </c>
      <c r="E132" s="177" t="s">
        <v>565</v>
      </c>
      <c r="F132" s="76" t="s">
        <v>181</v>
      </c>
      <c r="H132" s="76" t="s">
        <v>573</v>
      </c>
      <c r="I132" s="76" t="s">
        <v>167</v>
      </c>
      <c r="J132" s="76" t="s">
        <v>300</v>
      </c>
      <c r="K132" s="76" t="s">
        <v>442</v>
      </c>
      <c r="L132" s="76" t="s">
        <v>167</v>
      </c>
      <c r="M132" s="76" t="s">
        <v>300</v>
      </c>
      <c r="N132" s="76" t="s">
        <v>442</v>
      </c>
      <c r="O132" s="76" t="s">
        <v>408</v>
      </c>
      <c r="P132" s="76" t="s">
        <v>171</v>
      </c>
      <c r="Q132" s="76" t="s">
        <v>171</v>
      </c>
      <c r="R132" s="77" t="s">
        <v>482</v>
      </c>
      <c r="T132" s="99" t="s">
        <v>174</v>
      </c>
      <c r="W132" s="86">
        <v>34</v>
      </c>
      <c r="Y132" s="84">
        <f t="shared" si="64"/>
        <v>315.36000000000001</v>
      </c>
      <c r="Z132" s="84">
        <f t="shared" si="65"/>
        <v>321.12</v>
      </c>
      <c r="AA132" s="84"/>
      <c r="AB132" s="84"/>
      <c r="AC132" s="84">
        <f t="shared" si="66"/>
        <v>279.60000000000002</v>
      </c>
      <c r="AD132" s="84">
        <f t="shared" si="67"/>
        <v>291.36000000000001</v>
      </c>
      <c r="AE132" s="84"/>
      <c r="AF132" s="84"/>
      <c r="AG132" s="84">
        <f t="shared" si="68"/>
        <v>1555.4400000000001</v>
      </c>
      <c r="AH132" s="84">
        <f t="shared" si="69"/>
        <v>234</v>
      </c>
      <c r="AI132" s="84"/>
      <c r="AJ132" s="84"/>
      <c r="AK132" s="84">
        <f t="shared" si="70"/>
        <v>2068.0799999999999</v>
      </c>
      <c r="AL132" s="84">
        <f t="shared" si="71"/>
        <v>214.31999999999999</v>
      </c>
      <c r="BM132" s="84">
        <v>131.40000000000001</v>
      </c>
      <c r="BN132" s="84">
        <v>133.80000000000001</v>
      </c>
      <c r="BO132" s="84" t="s">
        <v>175</v>
      </c>
      <c r="BQ132" s="84">
        <v>116.5</v>
      </c>
      <c r="BR132" s="84">
        <v>121.40000000000001</v>
      </c>
      <c r="BS132" s="84" t="s">
        <v>175</v>
      </c>
      <c r="BU132" s="84">
        <v>648.10000000000002</v>
      </c>
      <c r="BV132" s="84">
        <v>97.5</v>
      </c>
      <c r="BW132" s="84" t="s">
        <v>175</v>
      </c>
      <c r="BY132" s="84">
        <v>861.70000000000005</v>
      </c>
      <c r="BZ132" s="84">
        <v>89.299999999999997</v>
      </c>
      <c r="CA132" s="84" t="s">
        <v>175</v>
      </c>
      <c r="CC132" s="84">
        <v>140</v>
      </c>
      <c r="CD132" s="84">
        <v>140</v>
      </c>
      <c r="CE132" s="84">
        <v>140</v>
      </c>
      <c r="CF132" s="84">
        <v>140</v>
      </c>
      <c r="CG132" s="84">
        <v>140</v>
      </c>
      <c r="CH132" s="84">
        <v>140</v>
      </c>
      <c r="CI132" s="84">
        <v>140</v>
      </c>
      <c r="CJ132" s="84">
        <v>140</v>
      </c>
    </row>
    <row r="133" s="76" customFormat="1">
      <c r="A133" s="77" t="s">
        <v>38</v>
      </c>
      <c r="B133" s="76" t="s">
        <v>150</v>
      </c>
      <c r="C133" s="76" t="s">
        <v>575</v>
      </c>
      <c r="D133" s="161" t="s">
        <v>564</v>
      </c>
      <c r="E133" s="177" t="s">
        <v>565</v>
      </c>
      <c r="F133" s="76" t="s">
        <v>181</v>
      </c>
      <c r="H133" s="76" t="s">
        <v>573</v>
      </c>
      <c r="I133" s="76" t="s">
        <v>167</v>
      </c>
      <c r="J133" s="76" t="s">
        <v>300</v>
      </c>
      <c r="K133" s="76" t="s">
        <v>301</v>
      </c>
      <c r="L133" s="76" t="s">
        <v>167</v>
      </c>
      <c r="M133" s="76" t="s">
        <v>168</v>
      </c>
      <c r="N133" s="76" t="s">
        <v>301</v>
      </c>
      <c r="O133" s="76" t="s">
        <v>408</v>
      </c>
      <c r="P133" s="76" t="s">
        <v>171</v>
      </c>
      <c r="Q133" s="76" t="s">
        <v>171</v>
      </c>
      <c r="R133" s="77" t="s">
        <v>482</v>
      </c>
      <c r="T133" s="99" t="s">
        <v>174</v>
      </c>
      <c r="W133" s="86">
        <v>44.100000000000001</v>
      </c>
      <c r="Y133" s="84">
        <f t="shared" si="64"/>
        <v>432</v>
      </c>
      <c r="Z133" s="84">
        <f t="shared" si="65"/>
        <v>393.36000000000001</v>
      </c>
      <c r="AA133" s="84"/>
      <c r="AB133" s="84"/>
      <c r="AC133" s="84">
        <f t="shared" si="66"/>
        <v>432.48000000000002</v>
      </c>
      <c r="AD133" s="84">
        <f t="shared" si="67"/>
        <v>337.92000000000002</v>
      </c>
      <c r="AE133" s="84"/>
      <c r="AF133" s="84"/>
      <c r="AG133" s="84">
        <f t="shared" si="68"/>
        <v>1098.72</v>
      </c>
      <c r="AH133" s="84">
        <f t="shared" si="69"/>
        <v>336</v>
      </c>
      <c r="AI133" s="84"/>
      <c r="AJ133" s="84"/>
      <c r="AK133" s="84">
        <f t="shared" si="70"/>
        <v>2875.9200000000001</v>
      </c>
      <c r="AL133" s="84">
        <f t="shared" si="71"/>
        <v>300</v>
      </c>
      <c r="BM133" s="84">
        <v>180</v>
      </c>
      <c r="BN133" s="84">
        <v>163.90000000000001</v>
      </c>
      <c r="BO133" s="84" t="s">
        <v>175</v>
      </c>
      <c r="BQ133" s="84">
        <v>180.19999999999999</v>
      </c>
      <c r="BR133" s="84">
        <v>140.80000000000001</v>
      </c>
      <c r="BS133" s="84" t="s">
        <v>175</v>
      </c>
      <c r="BU133" s="84">
        <v>457.80000000000001</v>
      </c>
      <c r="BV133" s="84">
        <v>140</v>
      </c>
      <c r="BW133" s="84" t="s">
        <v>175</v>
      </c>
      <c r="BY133" s="84">
        <v>1198.3</v>
      </c>
      <c r="BZ133" s="84">
        <v>125</v>
      </c>
      <c r="CA133" s="84" t="s">
        <v>175</v>
      </c>
      <c r="CC133" s="84">
        <v>140</v>
      </c>
      <c r="CD133" s="84">
        <v>140</v>
      </c>
      <c r="CE133" s="84">
        <v>140</v>
      </c>
      <c r="CF133" s="84">
        <v>140</v>
      </c>
      <c r="CG133" s="84">
        <v>140</v>
      </c>
      <c r="CH133" s="84">
        <v>140</v>
      </c>
      <c r="CI133" s="84">
        <v>140</v>
      </c>
      <c r="CJ133" s="84">
        <v>140</v>
      </c>
    </row>
    <row r="134" s="76" customFormat="1">
      <c r="A134" s="77" t="s">
        <v>38</v>
      </c>
      <c r="B134" s="76" t="s">
        <v>150</v>
      </c>
      <c r="C134" s="76" t="s">
        <v>576</v>
      </c>
      <c r="D134" s="161" t="s">
        <v>564</v>
      </c>
      <c r="E134" s="177" t="s">
        <v>565</v>
      </c>
      <c r="F134" s="76" t="s">
        <v>181</v>
      </c>
      <c r="H134" s="76" t="s">
        <v>573</v>
      </c>
      <c r="I134" s="76" t="s">
        <v>167</v>
      </c>
      <c r="J134" s="76" t="s">
        <v>300</v>
      </c>
      <c r="K134" s="76" t="s">
        <v>442</v>
      </c>
      <c r="L134" s="76" t="s">
        <v>167</v>
      </c>
      <c r="M134" s="76" t="s">
        <v>168</v>
      </c>
      <c r="N134" s="76" t="s">
        <v>442</v>
      </c>
      <c r="O134" s="76" t="s">
        <v>408</v>
      </c>
      <c r="P134" s="76" t="s">
        <v>171</v>
      </c>
      <c r="Q134" s="76" t="s">
        <v>171</v>
      </c>
      <c r="R134" s="77" t="s">
        <v>482</v>
      </c>
      <c r="T134" s="99" t="s">
        <v>174</v>
      </c>
      <c r="W134" s="86">
        <v>44.100000000000001</v>
      </c>
      <c r="Y134" s="84">
        <f t="shared" si="64"/>
        <v>432</v>
      </c>
      <c r="Z134" s="84">
        <f t="shared" si="65"/>
        <v>393.36000000000001</v>
      </c>
      <c r="AA134" s="84"/>
      <c r="AB134" s="84"/>
      <c r="AC134" s="84">
        <f t="shared" si="66"/>
        <v>432.48000000000002</v>
      </c>
      <c r="AD134" s="84">
        <f t="shared" si="67"/>
        <v>337.92000000000002</v>
      </c>
      <c r="AE134" s="84"/>
      <c r="AF134" s="84"/>
      <c r="AG134" s="84">
        <f t="shared" si="68"/>
        <v>1098.72</v>
      </c>
      <c r="AH134" s="84">
        <f t="shared" si="69"/>
        <v>336</v>
      </c>
      <c r="AI134" s="84"/>
      <c r="AJ134" s="84"/>
      <c r="AK134" s="84">
        <f t="shared" si="70"/>
        <v>2875.9200000000001</v>
      </c>
      <c r="AL134" s="84">
        <f t="shared" si="71"/>
        <v>300</v>
      </c>
      <c r="BM134" s="84">
        <v>180</v>
      </c>
      <c r="BN134" s="84">
        <v>163.90000000000001</v>
      </c>
      <c r="BO134" s="84" t="s">
        <v>175</v>
      </c>
      <c r="BQ134" s="84">
        <v>180.19999999999999</v>
      </c>
      <c r="BR134" s="84">
        <v>140.80000000000001</v>
      </c>
      <c r="BS134" s="84" t="s">
        <v>175</v>
      </c>
      <c r="BU134" s="84">
        <v>457.80000000000001</v>
      </c>
      <c r="BV134" s="84">
        <v>140</v>
      </c>
      <c r="BW134" s="84" t="s">
        <v>175</v>
      </c>
      <c r="BY134" s="84">
        <v>1198.3</v>
      </c>
      <c r="BZ134" s="84">
        <v>125</v>
      </c>
      <c r="CA134" s="84" t="s">
        <v>175</v>
      </c>
      <c r="CC134" s="84">
        <v>140</v>
      </c>
      <c r="CD134" s="84">
        <v>140</v>
      </c>
      <c r="CE134" s="84">
        <v>140</v>
      </c>
      <c r="CF134" s="84">
        <v>140</v>
      </c>
      <c r="CG134" s="84">
        <v>140</v>
      </c>
      <c r="CH134" s="84">
        <v>140</v>
      </c>
      <c r="CI134" s="84">
        <v>140</v>
      </c>
      <c r="CJ134" s="84">
        <v>140</v>
      </c>
    </row>
    <row r="135" s="76" customFormat="1">
      <c r="A135" s="77" t="s">
        <v>38</v>
      </c>
      <c r="B135" s="76" t="s">
        <v>150</v>
      </c>
      <c r="C135" s="76" t="s">
        <v>577</v>
      </c>
      <c r="D135" s="161" t="s">
        <v>564</v>
      </c>
      <c r="E135" s="177" t="s">
        <v>565</v>
      </c>
      <c r="F135" s="76" t="s">
        <v>181</v>
      </c>
      <c r="H135" s="76" t="s">
        <v>573</v>
      </c>
      <c r="I135" s="76" t="s">
        <v>167</v>
      </c>
      <c r="J135" s="76" t="s">
        <v>300</v>
      </c>
      <c r="K135" s="76" t="s">
        <v>301</v>
      </c>
      <c r="L135" s="76" t="s">
        <v>167</v>
      </c>
      <c r="M135" s="76" t="s">
        <v>177</v>
      </c>
      <c r="N135" s="76" t="s">
        <v>301</v>
      </c>
      <c r="O135" s="76" t="s">
        <v>408</v>
      </c>
      <c r="P135" s="76" t="s">
        <v>171</v>
      </c>
      <c r="Q135" s="76" t="s">
        <v>171</v>
      </c>
      <c r="R135" s="77" t="s">
        <v>482</v>
      </c>
      <c r="T135" s="99" t="s">
        <v>174</v>
      </c>
      <c r="W135" s="86">
        <v>54.200000000000003</v>
      </c>
      <c r="Y135" s="84">
        <f t="shared" si="64"/>
        <v>432</v>
      </c>
      <c r="Z135" s="84">
        <f t="shared" si="65"/>
        <v>397.67999999999995</v>
      </c>
      <c r="AA135" s="84"/>
      <c r="AB135" s="84"/>
      <c r="AC135" s="84">
        <f t="shared" si="66"/>
        <v>437.27999999999997</v>
      </c>
      <c r="AD135" s="84">
        <f t="shared" si="67"/>
        <v>336</v>
      </c>
      <c r="AE135" s="84"/>
      <c r="AF135" s="84"/>
      <c r="AG135" s="84">
        <f t="shared" si="68"/>
        <v>992.63999999999999</v>
      </c>
      <c r="AH135" s="84">
        <f t="shared" si="69"/>
        <v>343.19999999999999</v>
      </c>
      <c r="AI135" s="84"/>
      <c r="AJ135" s="84"/>
      <c r="AK135" s="84">
        <f t="shared" si="70"/>
        <v>3017.52</v>
      </c>
      <c r="AL135" s="84">
        <f t="shared" si="71"/>
        <v>343.19999999999999</v>
      </c>
      <c r="BM135" s="84">
        <v>180</v>
      </c>
      <c r="BN135" s="84">
        <v>165.69999999999999</v>
      </c>
      <c r="BO135" s="84" t="s">
        <v>175</v>
      </c>
      <c r="BQ135" s="84">
        <v>182.19999999999999</v>
      </c>
      <c r="BR135" s="84">
        <v>140</v>
      </c>
      <c r="BS135" s="84" t="s">
        <v>175</v>
      </c>
      <c r="BU135" s="84">
        <v>413.60000000000002</v>
      </c>
      <c r="BV135" s="84">
        <v>143</v>
      </c>
      <c r="BW135" s="84" t="s">
        <v>175</v>
      </c>
      <c r="BY135" s="84">
        <v>1257.3</v>
      </c>
      <c r="BZ135" s="84">
        <v>143</v>
      </c>
      <c r="CA135" s="84" t="s">
        <v>175</v>
      </c>
      <c r="CC135" s="84">
        <v>140</v>
      </c>
      <c r="CD135" s="84">
        <v>140</v>
      </c>
      <c r="CE135" s="84">
        <v>140</v>
      </c>
      <c r="CF135" s="84">
        <v>140</v>
      </c>
      <c r="CG135" s="84">
        <v>140</v>
      </c>
      <c r="CH135" s="84">
        <v>140</v>
      </c>
      <c r="CI135" s="84">
        <v>140</v>
      </c>
      <c r="CJ135" s="84">
        <v>140</v>
      </c>
    </row>
    <row r="136" s="76" customFormat="1">
      <c r="A136" s="77" t="s">
        <v>38</v>
      </c>
      <c r="B136" s="76" t="s">
        <v>150</v>
      </c>
      <c r="C136" s="76" t="s">
        <v>578</v>
      </c>
      <c r="D136" s="161" t="s">
        <v>564</v>
      </c>
      <c r="E136" s="177" t="s">
        <v>565</v>
      </c>
      <c r="F136" s="76" t="s">
        <v>181</v>
      </c>
      <c r="H136" s="76" t="s">
        <v>573</v>
      </c>
      <c r="I136" s="76" t="s">
        <v>167</v>
      </c>
      <c r="J136" s="76" t="s">
        <v>300</v>
      </c>
      <c r="K136" s="76" t="s">
        <v>442</v>
      </c>
      <c r="L136" s="76" t="s">
        <v>167</v>
      </c>
      <c r="M136" s="76" t="s">
        <v>177</v>
      </c>
      <c r="N136" s="76" t="s">
        <v>442</v>
      </c>
      <c r="O136" s="76" t="s">
        <v>408</v>
      </c>
      <c r="P136" s="76" t="s">
        <v>171</v>
      </c>
      <c r="Q136" s="76" t="s">
        <v>171</v>
      </c>
      <c r="R136" s="77" t="s">
        <v>482</v>
      </c>
      <c r="T136" s="99" t="s">
        <v>174</v>
      </c>
      <c r="W136" s="86">
        <v>54.200000000000003</v>
      </c>
      <c r="Y136" s="84">
        <f t="shared" si="64"/>
        <v>432</v>
      </c>
      <c r="Z136" s="84">
        <f t="shared" si="65"/>
        <v>397.67999999999995</v>
      </c>
      <c r="AA136" s="84"/>
      <c r="AB136" s="84"/>
      <c r="AC136" s="84">
        <f t="shared" si="66"/>
        <v>437.27999999999997</v>
      </c>
      <c r="AD136" s="84">
        <f t="shared" si="67"/>
        <v>336</v>
      </c>
      <c r="AE136" s="84"/>
      <c r="AF136" s="84"/>
      <c r="AG136" s="84">
        <f t="shared" si="68"/>
        <v>992.63999999999999</v>
      </c>
      <c r="AH136" s="84">
        <f t="shared" si="69"/>
        <v>343.19999999999999</v>
      </c>
      <c r="AI136" s="84"/>
      <c r="AJ136" s="84"/>
      <c r="AK136" s="84">
        <f t="shared" si="70"/>
        <v>3017.52</v>
      </c>
      <c r="AL136" s="84">
        <f t="shared" si="71"/>
        <v>343.19999999999999</v>
      </c>
      <c r="BM136" s="84">
        <v>180</v>
      </c>
      <c r="BN136" s="84">
        <v>165.69999999999999</v>
      </c>
      <c r="BO136" s="84" t="s">
        <v>175</v>
      </c>
      <c r="BQ136" s="84">
        <v>182.19999999999999</v>
      </c>
      <c r="BR136" s="84">
        <v>140</v>
      </c>
      <c r="BS136" s="84" t="s">
        <v>175</v>
      </c>
      <c r="BU136" s="84">
        <v>413.60000000000002</v>
      </c>
      <c r="BV136" s="84">
        <v>143</v>
      </c>
      <c r="BW136" s="84" t="s">
        <v>175</v>
      </c>
      <c r="BY136" s="84">
        <v>1257.3</v>
      </c>
      <c r="BZ136" s="84">
        <v>143</v>
      </c>
      <c r="CA136" s="84" t="s">
        <v>175</v>
      </c>
      <c r="CC136" s="84">
        <v>140</v>
      </c>
      <c r="CD136" s="84">
        <v>140</v>
      </c>
      <c r="CE136" s="84">
        <v>140</v>
      </c>
      <c r="CF136" s="84">
        <v>140</v>
      </c>
      <c r="CG136" s="84">
        <v>140</v>
      </c>
      <c r="CH136" s="84">
        <v>140</v>
      </c>
      <c r="CI136" s="84">
        <v>140</v>
      </c>
      <c r="CJ136" s="84">
        <v>140</v>
      </c>
    </row>
    <row r="137">
      <c r="A137" s="57" t="s">
        <v>38</v>
      </c>
      <c r="B137" s="51" t="s">
        <v>150</v>
      </c>
      <c r="C137" s="51" t="s">
        <v>579</v>
      </c>
      <c r="D137" s="161" t="s">
        <v>564</v>
      </c>
      <c r="E137" s="177" t="s">
        <v>565</v>
      </c>
      <c r="F137" s="51" t="s">
        <v>181</v>
      </c>
      <c r="H137" s="51" t="s">
        <v>299</v>
      </c>
      <c r="I137" s="51" t="s">
        <v>167</v>
      </c>
      <c r="J137" s="51" t="s">
        <v>300</v>
      </c>
      <c r="K137" s="51" t="s">
        <v>301</v>
      </c>
      <c r="L137" s="51" t="s">
        <v>167</v>
      </c>
      <c r="M137" s="51" t="s">
        <v>300</v>
      </c>
      <c r="N137" s="51" t="s">
        <v>301</v>
      </c>
      <c r="O137" s="51" t="s">
        <v>408</v>
      </c>
      <c r="P137" s="51" t="s">
        <v>171</v>
      </c>
      <c r="Q137" s="51" t="s">
        <v>171</v>
      </c>
      <c r="R137" s="57" t="s">
        <v>482</v>
      </c>
      <c r="T137" s="106" t="s">
        <v>174</v>
      </c>
      <c r="W137" s="64">
        <v>45.399999999999999</v>
      </c>
      <c r="Y137" s="62">
        <f t="shared" si="64"/>
        <v>348.96000000000004</v>
      </c>
      <c r="Z137" s="62">
        <f t="shared" si="65"/>
        <v>373.92000000000002</v>
      </c>
      <c r="AA137" s="62"/>
      <c r="AB137" s="62"/>
      <c r="AC137" s="62">
        <f t="shared" si="66"/>
        <v>324</v>
      </c>
      <c r="AD137" s="62">
        <f t="shared" si="67"/>
        <v>348.24000000000001</v>
      </c>
      <c r="AE137" s="62"/>
      <c r="AF137" s="62"/>
      <c r="AG137" s="62">
        <f t="shared" si="68"/>
        <v>1389.5999999999999</v>
      </c>
      <c r="AH137" s="62">
        <f t="shared" si="69"/>
        <v>285.60000000000002</v>
      </c>
      <c r="AI137" s="62"/>
      <c r="AJ137" s="62"/>
      <c r="AK137" s="62">
        <f t="shared" si="70"/>
        <v>2536.0799999999999</v>
      </c>
      <c r="AL137" s="62">
        <f t="shared" si="71"/>
        <v>285.60000000000002</v>
      </c>
      <c r="BM137" s="62">
        <v>145.40000000000001</v>
      </c>
      <c r="BN137" s="62">
        <v>155.80000000000001</v>
      </c>
      <c r="BO137" s="62" t="s">
        <v>175</v>
      </c>
      <c r="BQ137" s="62">
        <v>135</v>
      </c>
      <c r="BR137" s="62">
        <v>145.09999999999999</v>
      </c>
      <c r="BS137" s="62" t="s">
        <v>175</v>
      </c>
      <c r="BU137" s="62">
        <v>579</v>
      </c>
      <c r="BV137" s="62">
        <v>119</v>
      </c>
      <c r="BW137" s="62" t="s">
        <v>175</v>
      </c>
      <c r="BY137" s="62">
        <v>1056.7</v>
      </c>
      <c r="BZ137" s="62">
        <v>119</v>
      </c>
      <c r="CA137" s="62" t="s">
        <v>175</v>
      </c>
      <c r="CC137" s="62">
        <v>140</v>
      </c>
      <c r="CD137" s="62">
        <v>140</v>
      </c>
      <c r="CE137" s="62">
        <v>140</v>
      </c>
      <c r="CF137" s="62">
        <v>140</v>
      </c>
      <c r="CG137" s="62">
        <v>140</v>
      </c>
      <c r="CH137" s="62">
        <v>140</v>
      </c>
      <c r="CI137" s="62">
        <v>140</v>
      </c>
      <c r="CJ137" s="62">
        <v>140</v>
      </c>
    </row>
    <row r="138">
      <c r="A138" s="57" t="s">
        <v>38</v>
      </c>
      <c r="B138" s="51" t="s">
        <v>150</v>
      </c>
      <c r="C138" s="51" t="s">
        <v>580</v>
      </c>
      <c r="D138" s="161" t="s">
        <v>564</v>
      </c>
      <c r="E138" s="177" t="s">
        <v>565</v>
      </c>
      <c r="F138" s="51" t="s">
        <v>181</v>
      </c>
      <c r="H138" s="51" t="s">
        <v>299</v>
      </c>
      <c r="I138" s="51" t="s">
        <v>167</v>
      </c>
      <c r="J138" s="51" t="s">
        <v>300</v>
      </c>
      <c r="K138" s="51" t="s">
        <v>442</v>
      </c>
      <c r="L138" s="51" t="s">
        <v>167</v>
      </c>
      <c r="M138" s="51" t="s">
        <v>300</v>
      </c>
      <c r="N138" s="51" t="s">
        <v>442</v>
      </c>
      <c r="O138" s="51" t="s">
        <v>408</v>
      </c>
      <c r="P138" s="51" t="s">
        <v>171</v>
      </c>
      <c r="Q138" s="51" t="s">
        <v>171</v>
      </c>
      <c r="R138" s="57" t="s">
        <v>482</v>
      </c>
      <c r="T138" s="106" t="s">
        <v>174</v>
      </c>
      <c r="W138" s="64">
        <v>45.399999999999999</v>
      </c>
      <c r="Y138" s="62">
        <f t="shared" si="64"/>
        <v>348.96000000000004</v>
      </c>
      <c r="Z138" s="62">
        <f t="shared" si="65"/>
        <v>373.92000000000002</v>
      </c>
      <c r="AA138" s="62"/>
      <c r="AB138" s="62"/>
      <c r="AC138" s="62">
        <f t="shared" si="66"/>
        <v>324</v>
      </c>
      <c r="AD138" s="62">
        <f t="shared" si="67"/>
        <v>348.24000000000001</v>
      </c>
      <c r="AE138" s="62"/>
      <c r="AF138" s="62"/>
      <c r="AG138" s="62">
        <f t="shared" si="68"/>
        <v>1389.5999999999999</v>
      </c>
      <c r="AH138" s="62">
        <f t="shared" si="69"/>
        <v>285.60000000000002</v>
      </c>
      <c r="AI138" s="62"/>
      <c r="AJ138" s="62"/>
      <c r="AK138" s="62">
        <f t="shared" si="70"/>
        <v>2536.0799999999999</v>
      </c>
      <c r="AL138" s="62">
        <f t="shared" si="71"/>
        <v>285.60000000000002</v>
      </c>
      <c r="BM138" s="62">
        <v>145.40000000000001</v>
      </c>
      <c r="BN138" s="62">
        <v>155.80000000000001</v>
      </c>
      <c r="BO138" s="62" t="s">
        <v>175</v>
      </c>
      <c r="BQ138" s="62">
        <v>135</v>
      </c>
      <c r="BR138" s="62">
        <v>145.09999999999999</v>
      </c>
      <c r="BS138" s="62" t="s">
        <v>175</v>
      </c>
      <c r="BU138" s="62">
        <v>579</v>
      </c>
      <c r="BV138" s="62">
        <v>119</v>
      </c>
      <c r="BW138" s="62" t="s">
        <v>175</v>
      </c>
      <c r="BY138" s="62">
        <v>1056.7</v>
      </c>
      <c r="BZ138" s="62">
        <v>119</v>
      </c>
      <c r="CA138" s="62" t="s">
        <v>175</v>
      </c>
      <c r="CC138" s="62">
        <v>140</v>
      </c>
      <c r="CD138" s="62">
        <v>140</v>
      </c>
      <c r="CE138" s="62">
        <v>140</v>
      </c>
      <c r="CF138" s="62">
        <v>140</v>
      </c>
      <c r="CG138" s="62">
        <v>140</v>
      </c>
      <c r="CH138" s="62">
        <v>140</v>
      </c>
      <c r="CI138" s="62">
        <v>140</v>
      </c>
      <c r="CJ138" s="62">
        <v>140</v>
      </c>
    </row>
    <row r="139">
      <c r="A139" s="57" t="s">
        <v>38</v>
      </c>
      <c r="B139" s="51" t="s">
        <v>150</v>
      </c>
      <c r="C139" s="51" t="s">
        <v>581</v>
      </c>
      <c r="D139" s="161" t="s">
        <v>564</v>
      </c>
      <c r="E139" s="177" t="s">
        <v>565</v>
      </c>
      <c r="F139" s="51" t="s">
        <v>181</v>
      </c>
      <c r="H139" s="51" t="s">
        <v>299</v>
      </c>
      <c r="I139" s="51" t="s">
        <v>167</v>
      </c>
      <c r="J139" s="51" t="s">
        <v>300</v>
      </c>
      <c r="K139" s="51" t="s">
        <v>301</v>
      </c>
      <c r="L139" s="51" t="s">
        <v>167</v>
      </c>
      <c r="M139" s="51" t="s">
        <v>168</v>
      </c>
      <c r="N139" s="51" t="s">
        <v>301</v>
      </c>
      <c r="O139" s="51" t="s">
        <v>408</v>
      </c>
      <c r="P139" s="51" t="s">
        <v>171</v>
      </c>
      <c r="Q139" s="51" t="s">
        <v>171</v>
      </c>
      <c r="R139" s="57" t="s">
        <v>482</v>
      </c>
      <c r="T139" s="106" t="s">
        <v>174</v>
      </c>
      <c r="W139" s="64">
        <v>55.399999999999999</v>
      </c>
      <c r="Y139" s="62">
        <f t="shared" si="64"/>
        <v>446.15999999999997</v>
      </c>
      <c r="Z139" s="62">
        <f t="shared" si="65"/>
        <v>490.31999999999999</v>
      </c>
      <c r="AA139" s="62"/>
      <c r="AB139" s="62"/>
      <c r="AC139" s="62">
        <f t="shared" si="66"/>
        <v>553.92000000000007</v>
      </c>
      <c r="AD139" s="62">
        <f t="shared" si="67"/>
        <v>418.80000000000001</v>
      </c>
      <c r="AE139" s="62"/>
      <c r="AF139" s="62"/>
      <c r="AG139" s="62">
        <f t="shared" si="68"/>
        <v>1336.5599999999999</v>
      </c>
      <c r="AH139" s="62">
        <f t="shared" si="69"/>
        <v>411.84000000000003</v>
      </c>
      <c r="AI139" s="62"/>
      <c r="AJ139" s="62"/>
      <c r="AK139" s="62">
        <f t="shared" si="70"/>
        <v>3122.1599999999999</v>
      </c>
      <c r="AL139" s="62">
        <f t="shared" si="71"/>
        <v>367.92000000000002</v>
      </c>
      <c r="BM139" s="62">
        <v>185.90000000000001</v>
      </c>
      <c r="BN139" s="62">
        <v>204.30000000000001</v>
      </c>
      <c r="BO139" s="62" t="s">
        <v>175</v>
      </c>
      <c r="BQ139" s="62">
        <v>230.80000000000001</v>
      </c>
      <c r="BR139" s="62">
        <v>174.5</v>
      </c>
      <c r="BS139" s="62" t="s">
        <v>175</v>
      </c>
      <c r="BU139" s="62">
        <v>556.89999999999998</v>
      </c>
      <c r="BV139" s="62">
        <v>171.59999999999999</v>
      </c>
      <c r="BW139" s="62" t="s">
        <v>175</v>
      </c>
      <c r="BY139" s="62">
        <v>1300.9000000000001</v>
      </c>
      <c r="BZ139" s="62">
        <v>153.30000000000001</v>
      </c>
      <c r="CA139" s="62" t="s">
        <v>175</v>
      </c>
      <c r="CC139" s="62">
        <v>140</v>
      </c>
      <c r="CD139" s="62">
        <v>140</v>
      </c>
      <c r="CE139" s="62">
        <v>140</v>
      </c>
      <c r="CF139" s="62">
        <v>140</v>
      </c>
      <c r="CG139" s="62">
        <v>140</v>
      </c>
      <c r="CH139" s="62">
        <v>140</v>
      </c>
      <c r="CI139" s="62">
        <v>140</v>
      </c>
      <c r="CJ139" s="62">
        <v>140</v>
      </c>
    </row>
    <row r="140">
      <c r="A140" s="57" t="s">
        <v>38</v>
      </c>
      <c r="B140" s="51" t="s">
        <v>150</v>
      </c>
      <c r="C140" s="51" t="s">
        <v>582</v>
      </c>
      <c r="D140" s="161" t="s">
        <v>564</v>
      </c>
      <c r="E140" s="177" t="s">
        <v>565</v>
      </c>
      <c r="F140" s="51" t="s">
        <v>181</v>
      </c>
      <c r="H140" s="51" t="s">
        <v>299</v>
      </c>
      <c r="I140" s="51" t="s">
        <v>167</v>
      </c>
      <c r="J140" s="51" t="s">
        <v>300</v>
      </c>
      <c r="K140" s="51" t="s">
        <v>442</v>
      </c>
      <c r="L140" s="51" t="s">
        <v>167</v>
      </c>
      <c r="M140" s="51" t="s">
        <v>168</v>
      </c>
      <c r="N140" s="51" t="s">
        <v>442</v>
      </c>
      <c r="O140" s="51" t="s">
        <v>408</v>
      </c>
      <c r="P140" s="51" t="s">
        <v>171</v>
      </c>
      <c r="Q140" s="51" t="s">
        <v>171</v>
      </c>
      <c r="R140" s="57" t="s">
        <v>482</v>
      </c>
      <c r="T140" s="106" t="s">
        <v>174</v>
      </c>
      <c r="W140" s="64">
        <v>55.399999999999999</v>
      </c>
      <c r="Y140" s="62">
        <f t="shared" si="64"/>
        <v>446.15999999999997</v>
      </c>
      <c r="Z140" s="62">
        <f t="shared" si="65"/>
        <v>490.31999999999999</v>
      </c>
      <c r="AA140" s="62"/>
      <c r="AB140" s="62"/>
      <c r="AC140" s="62">
        <f t="shared" si="66"/>
        <v>553.92000000000007</v>
      </c>
      <c r="AD140" s="62">
        <f t="shared" si="67"/>
        <v>418.80000000000001</v>
      </c>
      <c r="AE140" s="62"/>
      <c r="AF140" s="62"/>
      <c r="AG140" s="62">
        <f t="shared" si="68"/>
        <v>1336.5599999999999</v>
      </c>
      <c r="AH140" s="62">
        <f t="shared" si="69"/>
        <v>411.84000000000003</v>
      </c>
      <c r="AI140" s="62"/>
      <c r="AJ140" s="62"/>
      <c r="AK140" s="62">
        <f t="shared" si="70"/>
        <v>3122.1599999999999</v>
      </c>
      <c r="AL140" s="62">
        <f t="shared" si="71"/>
        <v>367.92000000000002</v>
      </c>
      <c r="BM140" s="62">
        <v>185.90000000000001</v>
      </c>
      <c r="BN140" s="62">
        <v>204.30000000000001</v>
      </c>
      <c r="BO140" s="62" t="s">
        <v>175</v>
      </c>
      <c r="BQ140" s="62">
        <v>230.80000000000001</v>
      </c>
      <c r="BR140" s="62">
        <v>174.5</v>
      </c>
      <c r="BS140" s="62" t="s">
        <v>175</v>
      </c>
      <c r="BU140" s="62">
        <v>556.89999999999998</v>
      </c>
      <c r="BV140" s="62">
        <v>171.59999999999999</v>
      </c>
      <c r="BW140" s="62" t="s">
        <v>175</v>
      </c>
      <c r="BY140" s="62">
        <v>1300.9000000000001</v>
      </c>
      <c r="BZ140" s="62">
        <v>153.30000000000001</v>
      </c>
      <c r="CA140" s="62" t="s">
        <v>175</v>
      </c>
      <c r="CC140" s="62">
        <v>140</v>
      </c>
      <c r="CD140" s="62">
        <v>140</v>
      </c>
      <c r="CE140" s="62">
        <v>140</v>
      </c>
      <c r="CF140" s="62">
        <v>140</v>
      </c>
      <c r="CG140" s="62">
        <v>140</v>
      </c>
      <c r="CH140" s="62">
        <v>140</v>
      </c>
      <c r="CI140" s="62">
        <v>140</v>
      </c>
      <c r="CJ140" s="62">
        <v>140</v>
      </c>
    </row>
    <row r="141">
      <c r="A141" s="57" t="s">
        <v>38</v>
      </c>
      <c r="B141" s="51" t="s">
        <v>150</v>
      </c>
      <c r="C141" s="51" t="s">
        <v>583</v>
      </c>
      <c r="D141" s="161" t="s">
        <v>564</v>
      </c>
      <c r="E141" s="177" t="s">
        <v>565</v>
      </c>
      <c r="F141" s="51" t="s">
        <v>181</v>
      </c>
      <c r="H141" s="51" t="s">
        <v>299</v>
      </c>
      <c r="I141" s="51" t="s">
        <v>167</v>
      </c>
      <c r="J141" s="51" t="s">
        <v>300</v>
      </c>
      <c r="K141" s="51" t="s">
        <v>301</v>
      </c>
      <c r="L141" s="51" t="s">
        <v>167</v>
      </c>
      <c r="M141" s="51" t="s">
        <v>177</v>
      </c>
      <c r="N141" s="51" t="s">
        <v>301</v>
      </c>
      <c r="O141" s="51" t="s">
        <v>408</v>
      </c>
      <c r="P141" s="51" t="s">
        <v>171</v>
      </c>
      <c r="Q141" s="51" t="s">
        <v>171</v>
      </c>
      <c r="R141" s="57" t="s">
        <v>482</v>
      </c>
      <c r="T141" s="106" t="s">
        <v>174</v>
      </c>
      <c r="W141" s="64">
        <v>65.5</v>
      </c>
      <c r="Y141" s="62">
        <f t="shared" si="64"/>
        <v>463.43999999999994</v>
      </c>
      <c r="Z141" s="62">
        <f t="shared" si="65"/>
        <v>495.84000000000003</v>
      </c>
      <c r="AA141" s="62"/>
      <c r="AB141" s="62"/>
      <c r="AC141" s="62">
        <f t="shared" si="66"/>
        <v>561.60000000000002</v>
      </c>
      <c r="AD141" s="62">
        <f t="shared" si="67"/>
        <v>423.36000000000001</v>
      </c>
      <c r="AE141" s="62"/>
      <c r="AF141" s="62"/>
      <c r="AG141" s="62">
        <f t="shared" si="68"/>
        <v>1349.04</v>
      </c>
      <c r="AH141" s="62">
        <f t="shared" si="69"/>
        <v>416.63999999999999</v>
      </c>
      <c r="AI141" s="62"/>
      <c r="AJ141" s="62"/>
      <c r="AK141" s="62">
        <f t="shared" si="70"/>
        <v>3699.3600000000001</v>
      </c>
      <c r="AL141" s="62">
        <f t="shared" si="71"/>
        <v>412.56</v>
      </c>
      <c r="BM141" s="62">
        <v>193.09999999999999</v>
      </c>
      <c r="BN141" s="62">
        <v>206.59999999999999</v>
      </c>
      <c r="BO141" s="62" t="s">
        <v>175</v>
      </c>
      <c r="BQ141" s="62">
        <v>234</v>
      </c>
      <c r="BR141" s="62">
        <v>176.40000000000001</v>
      </c>
      <c r="BS141" s="62" t="s">
        <v>175</v>
      </c>
      <c r="BU141" s="62">
        <v>562.10000000000002</v>
      </c>
      <c r="BV141" s="62">
        <v>173.59999999999999</v>
      </c>
      <c r="BW141" s="62" t="s">
        <v>175</v>
      </c>
      <c r="BY141" s="62">
        <v>1541.4000000000001</v>
      </c>
      <c r="BZ141" s="62">
        <v>171.90000000000001</v>
      </c>
      <c r="CA141" s="62" t="s">
        <v>175</v>
      </c>
      <c r="CC141" s="62">
        <v>140</v>
      </c>
      <c r="CD141" s="62">
        <v>140</v>
      </c>
      <c r="CE141" s="62">
        <v>140</v>
      </c>
      <c r="CF141" s="62">
        <v>140</v>
      </c>
      <c r="CG141" s="62">
        <v>140</v>
      </c>
      <c r="CH141" s="62">
        <v>140</v>
      </c>
      <c r="CI141" s="62">
        <v>140</v>
      </c>
      <c r="CJ141" s="62">
        <v>140</v>
      </c>
    </row>
    <row r="142">
      <c r="A142" s="57" t="s">
        <v>38</v>
      </c>
      <c r="B142" s="51" t="s">
        <v>150</v>
      </c>
      <c r="C142" s="51" t="s">
        <v>584</v>
      </c>
      <c r="D142" s="161" t="s">
        <v>564</v>
      </c>
      <c r="E142" s="177" t="s">
        <v>565</v>
      </c>
      <c r="F142" s="51" t="s">
        <v>181</v>
      </c>
      <c r="H142" s="51" t="s">
        <v>299</v>
      </c>
      <c r="I142" s="51" t="s">
        <v>167</v>
      </c>
      <c r="J142" s="51" t="s">
        <v>300</v>
      </c>
      <c r="K142" s="51" t="s">
        <v>442</v>
      </c>
      <c r="L142" s="51" t="s">
        <v>167</v>
      </c>
      <c r="M142" s="51" t="s">
        <v>177</v>
      </c>
      <c r="N142" s="51" t="s">
        <v>442</v>
      </c>
      <c r="O142" s="51" t="s">
        <v>408</v>
      </c>
      <c r="P142" s="51" t="s">
        <v>171</v>
      </c>
      <c r="Q142" s="51" t="s">
        <v>171</v>
      </c>
      <c r="R142" s="57" t="s">
        <v>482</v>
      </c>
      <c r="T142" s="106" t="s">
        <v>174</v>
      </c>
      <c r="W142" s="64">
        <v>65.5</v>
      </c>
      <c r="Y142" s="62">
        <f t="shared" si="64"/>
        <v>463.43999999999994</v>
      </c>
      <c r="Z142" s="62">
        <f t="shared" si="65"/>
        <v>495.84000000000003</v>
      </c>
      <c r="AA142" s="62"/>
      <c r="AB142" s="62"/>
      <c r="AC142" s="62">
        <f t="shared" si="66"/>
        <v>561.60000000000002</v>
      </c>
      <c r="AD142" s="62">
        <f t="shared" si="67"/>
        <v>423.36000000000001</v>
      </c>
      <c r="AE142" s="62"/>
      <c r="AF142" s="62"/>
      <c r="AG142" s="62">
        <f t="shared" si="68"/>
        <v>1349.04</v>
      </c>
      <c r="AH142" s="62">
        <f t="shared" si="69"/>
        <v>416.63999999999999</v>
      </c>
      <c r="AI142" s="62"/>
      <c r="AJ142" s="62"/>
      <c r="AK142" s="62">
        <f t="shared" si="70"/>
        <v>3699.3600000000001</v>
      </c>
      <c r="AL142" s="62">
        <f t="shared" si="71"/>
        <v>412.56</v>
      </c>
      <c r="BM142" s="62">
        <v>193.09999999999999</v>
      </c>
      <c r="BN142" s="62">
        <v>206.59999999999999</v>
      </c>
      <c r="BO142" s="62" t="s">
        <v>175</v>
      </c>
      <c r="BQ142" s="62">
        <v>234</v>
      </c>
      <c r="BR142" s="62">
        <v>176.40000000000001</v>
      </c>
      <c r="BS142" s="62" t="s">
        <v>175</v>
      </c>
      <c r="BU142" s="62">
        <v>562.10000000000002</v>
      </c>
      <c r="BV142" s="62">
        <v>173.59999999999999</v>
      </c>
      <c r="BW142" s="62" t="s">
        <v>175</v>
      </c>
      <c r="BY142" s="62">
        <v>1541.4000000000001</v>
      </c>
      <c r="BZ142" s="62">
        <v>171.90000000000001</v>
      </c>
      <c r="CA142" s="62" t="s">
        <v>175</v>
      </c>
      <c r="CC142" s="62">
        <v>140</v>
      </c>
      <c r="CD142" s="62">
        <v>140</v>
      </c>
      <c r="CE142" s="62">
        <v>140</v>
      </c>
      <c r="CF142" s="62">
        <v>140</v>
      </c>
      <c r="CG142" s="62">
        <v>140</v>
      </c>
      <c r="CH142" s="62">
        <v>140</v>
      </c>
      <c r="CI142" s="62">
        <v>140</v>
      </c>
      <c r="CJ142" s="62">
        <v>140</v>
      </c>
    </row>
    <row r="143" s="76" customFormat="1">
      <c r="A143" s="77" t="s">
        <v>38</v>
      </c>
      <c r="B143" s="76" t="s">
        <v>150</v>
      </c>
      <c r="C143" s="76" t="s">
        <v>585</v>
      </c>
      <c r="D143" s="161" t="s">
        <v>564</v>
      </c>
      <c r="E143" s="177" t="s">
        <v>565</v>
      </c>
      <c r="F143" s="76" t="s">
        <v>181</v>
      </c>
      <c r="H143" s="76" t="s">
        <v>305</v>
      </c>
      <c r="I143" s="76" t="s">
        <v>167</v>
      </c>
      <c r="J143" s="76" t="s">
        <v>300</v>
      </c>
      <c r="K143" s="76" t="s">
        <v>301</v>
      </c>
      <c r="L143" s="76" t="s">
        <v>167</v>
      </c>
      <c r="M143" s="76" t="s">
        <v>300</v>
      </c>
      <c r="N143" s="76" t="s">
        <v>301</v>
      </c>
      <c r="O143" s="76" t="s">
        <v>408</v>
      </c>
      <c r="P143" s="76" t="s">
        <v>171</v>
      </c>
      <c r="Q143" s="76" t="s">
        <v>171</v>
      </c>
      <c r="R143" s="77" t="s">
        <v>482</v>
      </c>
      <c r="T143" s="99" t="s">
        <v>174</v>
      </c>
      <c r="W143" s="86">
        <v>56.700000000000003</v>
      </c>
      <c r="Y143" s="84">
        <f t="shared" si="64"/>
        <v>503.03999999999996</v>
      </c>
      <c r="Z143" s="84">
        <f t="shared" si="65"/>
        <v>553.68000000000006</v>
      </c>
      <c r="AA143" s="84"/>
      <c r="AB143" s="84"/>
      <c r="AC143" s="84">
        <f t="shared" si="66"/>
        <v>558.96000000000004</v>
      </c>
      <c r="AD143" s="84">
        <f t="shared" si="67"/>
        <v>480.96000000000004</v>
      </c>
      <c r="AE143" s="84"/>
      <c r="AF143" s="84"/>
      <c r="AG143" s="84">
        <f t="shared" si="68"/>
        <v>2560.5600000000004</v>
      </c>
      <c r="AH143" s="84">
        <f t="shared" si="69"/>
        <v>357.12</v>
      </c>
      <c r="AI143" s="84"/>
      <c r="AJ143" s="84"/>
      <c r="AK143" s="84">
        <f t="shared" si="70"/>
        <v>3160.5600000000004</v>
      </c>
      <c r="AL143" s="84">
        <f t="shared" si="71"/>
        <v>357.12</v>
      </c>
      <c r="BM143" s="84">
        <v>209.59999999999999</v>
      </c>
      <c r="BN143" s="84">
        <v>230.69999999999999</v>
      </c>
      <c r="BO143" s="84" t="s">
        <v>175</v>
      </c>
      <c r="BQ143" s="84">
        <v>232.90000000000001</v>
      </c>
      <c r="BR143" s="84">
        <v>200.40000000000001</v>
      </c>
      <c r="BS143" s="84" t="s">
        <v>175</v>
      </c>
      <c r="BU143" s="84">
        <v>1066.9000000000001</v>
      </c>
      <c r="BV143" s="84">
        <v>148.80000000000001</v>
      </c>
      <c r="BW143" s="84" t="s">
        <v>175</v>
      </c>
      <c r="BY143" s="84">
        <v>1316.9000000000001</v>
      </c>
      <c r="BZ143" s="84">
        <v>148.80000000000001</v>
      </c>
      <c r="CA143" s="84" t="s">
        <v>175</v>
      </c>
      <c r="CC143" s="84">
        <v>140</v>
      </c>
      <c r="CD143" s="84">
        <v>140</v>
      </c>
      <c r="CE143" s="84">
        <v>140</v>
      </c>
      <c r="CF143" s="84">
        <v>140</v>
      </c>
      <c r="CG143" s="84">
        <v>140</v>
      </c>
      <c r="CH143" s="84">
        <v>140</v>
      </c>
      <c r="CI143" s="84">
        <v>140</v>
      </c>
      <c r="CJ143" s="84">
        <v>140</v>
      </c>
    </row>
    <row r="144" s="76" customFormat="1">
      <c r="A144" s="77" t="s">
        <v>38</v>
      </c>
      <c r="B144" s="76" t="s">
        <v>150</v>
      </c>
      <c r="C144" s="76" t="s">
        <v>586</v>
      </c>
      <c r="D144" s="161" t="s">
        <v>564</v>
      </c>
      <c r="E144" s="177" t="s">
        <v>565</v>
      </c>
      <c r="F144" s="76" t="s">
        <v>181</v>
      </c>
      <c r="H144" s="76" t="s">
        <v>305</v>
      </c>
      <c r="I144" s="76" t="s">
        <v>167</v>
      </c>
      <c r="J144" s="76" t="s">
        <v>300</v>
      </c>
      <c r="K144" s="76" t="s">
        <v>442</v>
      </c>
      <c r="L144" s="76" t="s">
        <v>167</v>
      </c>
      <c r="M144" s="76" t="s">
        <v>300</v>
      </c>
      <c r="N144" s="76" t="s">
        <v>442</v>
      </c>
      <c r="O144" s="76" t="s">
        <v>408</v>
      </c>
      <c r="P144" s="76" t="s">
        <v>171</v>
      </c>
      <c r="Q144" s="76" t="s">
        <v>171</v>
      </c>
      <c r="R144" s="77" t="s">
        <v>482</v>
      </c>
      <c r="T144" s="99" t="s">
        <v>174</v>
      </c>
      <c r="W144" s="86">
        <v>56.700000000000003</v>
      </c>
      <c r="Y144" s="84">
        <f t="shared" si="64"/>
        <v>503.03999999999996</v>
      </c>
      <c r="Z144" s="84">
        <f t="shared" si="65"/>
        <v>553.68000000000006</v>
      </c>
      <c r="AA144" s="84"/>
      <c r="AB144" s="84"/>
      <c r="AC144" s="84">
        <f t="shared" si="66"/>
        <v>558.96000000000004</v>
      </c>
      <c r="AD144" s="84">
        <f t="shared" si="67"/>
        <v>480.96000000000004</v>
      </c>
      <c r="AE144" s="84"/>
      <c r="AF144" s="84"/>
      <c r="AG144" s="84">
        <f t="shared" si="68"/>
        <v>2560.5600000000004</v>
      </c>
      <c r="AH144" s="84">
        <f t="shared" si="69"/>
        <v>357.12</v>
      </c>
      <c r="AI144" s="84"/>
      <c r="AJ144" s="84"/>
      <c r="AK144" s="84">
        <f t="shared" si="70"/>
        <v>3160.5600000000004</v>
      </c>
      <c r="AL144" s="84">
        <f t="shared" si="71"/>
        <v>357.12</v>
      </c>
      <c r="BM144" s="84">
        <v>209.59999999999999</v>
      </c>
      <c r="BN144" s="84">
        <v>230.69999999999999</v>
      </c>
      <c r="BO144" s="84" t="s">
        <v>175</v>
      </c>
      <c r="BQ144" s="84">
        <v>232.90000000000001</v>
      </c>
      <c r="BR144" s="84">
        <v>200.40000000000001</v>
      </c>
      <c r="BS144" s="84" t="s">
        <v>175</v>
      </c>
      <c r="BU144" s="84">
        <v>1066.9000000000001</v>
      </c>
      <c r="BV144" s="84">
        <v>148.80000000000001</v>
      </c>
      <c r="BW144" s="84" t="s">
        <v>175</v>
      </c>
      <c r="BY144" s="84">
        <v>1316.9000000000001</v>
      </c>
      <c r="BZ144" s="84">
        <v>148.80000000000001</v>
      </c>
      <c r="CA144" s="84" t="s">
        <v>175</v>
      </c>
      <c r="CC144" s="84">
        <v>140</v>
      </c>
      <c r="CD144" s="84">
        <v>140</v>
      </c>
      <c r="CE144" s="84">
        <v>140</v>
      </c>
      <c r="CF144" s="84">
        <v>140</v>
      </c>
      <c r="CG144" s="84">
        <v>140</v>
      </c>
      <c r="CH144" s="84">
        <v>140</v>
      </c>
      <c r="CI144" s="84">
        <v>140</v>
      </c>
      <c r="CJ144" s="84">
        <v>140</v>
      </c>
    </row>
    <row r="145" s="76" customFormat="1">
      <c r="A145" s="77" t="s">
        <v>38</v>
      </c>
      <c r="B145" s="76" t="s">
        <v>150</v>
      </c>
      <c r="C145" s="76" t="s">
        <v>587</v>
      </c>
      <c r="D145" s="161" t="s">
        <v>564</v>
      </c>
      <c r="E145" s="177" t="s">
        <v>565</v>
      </c>
      <c r="F145" s="76" t="s">
        <v>181</v>
      </c>
      <c r="H145" s="76" t="s">
        <v>305</v>
      </c>
      <c r="I145" s="76" t="s">
        <v>167</v>
      </c>
      <c r="J145" s="76" t="s">
        <v>300</v>
      </c>
      <c r="K145" s="76" t="s">
        <v>301</v>
      </c>
      <c r="L145" s="76" t="s">
        <v>167</v>
      </c>
      <c r="M145" s="76" t="s">
        <v>168</v>
      </c>
      <c r="N145" s="76" t="s">
        <v>301</v>
      </c>
      <c r="O145" s="76" t="s">
        <v>408</v>
      </c>
      <c r="P145" s="76" t="s">
        <v>171</v>
      </c>
      <c r="Q145" s="76" t="s">
        <v>171</v>
      </c>
      <c r="R145" s="77" t="s">
        <v>482</v>
      </c>
      <c r="T145" s="99" t="s">
        <v>174</v>
      </c>
      <c r="W145" s="86">
        <v>66.799999999999997</v>
      </c>
      <c r="Y145" s="84">
        <f t="shared" si="64"/>
        <v>491.75999999999999</v>
      </c>
      <c r="Z145" s="84">
        <f t="shared" si="65"/>
        <v>589.68000000000006</v>
      </c>
      <c r="AA145" s="84"/>
      <c r="AB145" s="84"/>
      <c r="AC145" s="84">
        <f t="shared" si="66"/>
        <v>615.84000000000003</v>
      </c>
      <c r="AD145" s="84">
        <f t="shared" si="67"/>
        <v>517.43999999999994</v>
      </c>
      <c r="AE145" s="84"/>
      <c r="AF145" s="84"/>
      <c r="AG145" s="84">
        <f t="shared" si="68"/>
        <v>2509.9200000000001</v>
      </c>
      <c r="AH145" s="84">
        <f t="shared" si="69"/>
        <v>420.48000000000002</v>
      </c>
      <c r="AI145" s="84"/>
      <c r="AJ145" s="84"/>
      <c r="AK145" s="84">
        <f t="shared" si="70"/>
        <v>3732.7200000000003</v>
      </c>
      <c r="AL145" s="84">
        <f t="shared" si="71"/>
        <v>420.48000000000002</v>
      </c>
      <c r="BM145" s="84">
        <v>204.90000000000001</v>
      </c>
      <c r="BN145" s="84">
        <v>245.69999999999999</v>
      </c>
      <c r="BO145" s="84" t="s">
        <v>175</v>
      </c>
      <c r="BQ145" s="84">
        <v>256.60000000000002</v>
      </c>
      <c r="BR145" s="84">
        <v>215.59999999999999</v>
      </c>
      <c r="BS145" s="84" t="s">
        <v>175</v>
      </c>
      <c r="BU145" s="84">
        <v>1045.8</v>
      </c>
      <c r="BV145" s="84">
        <v>175.19999999999999</v>
      </c>
      <c r="BW145" s="84" t="s">
        <v>175</v>
      </c>
      <c r="BY145" s="84">
        <v>1555.3</v>
      </c>
      <c r="BZ145" s="84">
        <v>175.19999999999999</v>
      </c>
      <c r="CA145" s="84" t="s">
        <v>175</v>
      </c>
      <c r="CC145" s="84">
        <v>140</v>
      </c>
      <c r="CD145" s="84">
        <v>140</v>
      </c>
      <c r="CE145" s="84">
        <v>140</v>
      </c>
      <c r="CF145" s="84">
        <v>140</v>
      </c>
      <c r="CG145" s="84">
        <v>140</v>
      </c>
      <c r="CH145" s="84">
        <v>140</v>
      </c>
      <c r="CI145" s="84">
        <v>140</v>
      </c>
      <c r="CJ145" s="84">
        <v>140</v>
      </c>
    </row>
    <row r="146" s="76" customFormat="1">
      <c r="A146" s="77" t="s">
        <v>38</v>
      </c>
      <c r="B146" s="76" t="s">
        <v>150</v>
      </c>
      <c r="C146" s="76" t="s">
        <v>588</v>
      </c>
      <c r="D146" s="161" t="s">
        <v>564</v>
      </c>
      <c r="E146" s="177" t="s">
        <v>565</v>
      </c>
      <c r="F146" s="76" t="s">
        <v>181</v>
      </c>
      <c r="H146" s="76" t="s">
        <v>305</v>
      </c>
      <c r="I146" s="76" t="s">
        <v>167</v>
      </c>
      <c r="J146" s="76" t="s">
        <v>300</v>
      </c>
      <c r="K146" s="76" t="s">
        <v>442</v>
      </c>
      <c r="L146" s="76" t="s">
        <v>167</v>
      </c>
      <c r="M146" s="76" t="s">
        <v>168</v>
      </c>
      <c r="N146" s="76" t="s">
        <v>442</v>
      </c>
      <c r="O146" s="76" t="s">
        <v>408</v>
      </c>
      <c r="P146" s="76" t="s">
        <v>171</v>
      </c>
      <c r="Q146" s="76" t="s">
        <v>171</v>
      </c>
      <c r="R146" s="77" t="s">
        <v>482</v>
      </c>
      <c r="T146" s="99" t="s">
        <v>174</v>
      </c>
      <c r="W146" s="86">
        <v>66.799999999999997</v>
      </c>
      <c r="Y146" s="84">
        <f t="shared" si="64"/>
        <v>491.75999999999999</v>
      </c>
      <c r="Z146" s="84">
        <f t="shared" si="65"/>
        <v>589.68000000000006</v>
      </c>
      <c r="AA146" s="84"/>
      <c r="AB146" s="84"/>
      <c r="AC146" s="84">
        <f t="shared" si="66"/>
        <v>615.84000000000003</v>
      </c>
      <c r="AD146" s="84">
        <f t="shared" si="67"/>
        <v>517.43999999999994</v>
      </c>
      <c r="AE146" s="84"/>
      <c r="AF146" s="84"/>
      <c r="AG146" s="84">
        <f t="shared" si="68"/>
        <v>2509.9200000000001</v>
      </c>
      <c r="AH146" s="84">
        <f t="shared" si="69"/>
        <v>420.48000000000002</v>
      </c>
      <c r="AI146" s="84"/>
      <c r="AJ146" s="84"/>
      <c r="AK146" s="84">
        <f t="shared" si="70"/>
        <v>3732.7200000000003</v>
      </c>
      <c r="AL146" s="84">
        <f t="shared" si="71"/>
        <v>420.48000000000002</v>
      </c>
      <c r="BM146" s="84">
        <v>204.90000000000001</v>
      </c>
      <c r="BN146" s="84">
        <v>245.69999999999999</v>
      </c>
      <c r="BO146" s="84" t="s">
        <v>175</v>
      </c>
      <c r="BQ146" s="84">
        <v>256.60000000000002</v>
      </c>
      <c r="BR146" s="84">
        <v>215.59999999999999</v>
      </c>
      <c r="BS146" s="84" t="s">
        <v>175</v>
      </c>
      <c r="BU146" s="84">
        <v>1045.8</v>
      </c>
      <c r="BV146" s="84">
        <v>175.19999999999999</v>
      </c>
      <c r="BW146" s="84" t="s">
        <v>175</v>
      </c>
      <c r="BY146" s="84">
        <v>1555.3</v>
      </c>
      <c r="BZ146" s="84">
        <v>175.19999999999999</v>
      </c>
      <c r="CA146" s="84" t="s">
        <v>175</v>
      </c>
      <c r="CC146" s="84">
        <v>140</v>
      </c>
      <c r="CD146" s="84">
        <v>140</v>
      </c>
      <c r="CE146" s="84">
        <v>140</v>
      </c>
      <c r="CF146" s="84">
        <v>140</v>
      </c>
      <c r="CG146" s="84">
        <v>140</v>
      </c>
      <c r="CH146" s="84">
        <v>140</v>
      </c>
      <c r="CI146" s="84">
        <v>140</v>
      </c>
      <c r="CJ146" s="84">
        <v>140</v>
      </c>
    </row>
    <row r="147" s="76" customFormat="1">
      <c r="A147" s="77" t="s">
        <v>38</v>
      </c>
      <c r="B147" s="76" t="s">
        <v>150</v>
      </c>
      <c r="C147" s="76" t="s">
        <v>589</v>
      </c>
      <c r="D147" s="161" t="s">
        <v>564</v>
      </c>
      <c r="E147" s="177" t="s">
        <v>565</v>
      </c>
      <c r="F147" s="76" t="s">
        <v>181</v>
      </c>
      <c r="H147" s="76" t="s">
        <v>305</v>
      </c>
      <c r="I147" s="76" t="s">
        <v>167</v>
      </c>
      <c r="J147" s="76" t="s">
        <v>300</v>
      </c>
      <c r="K147" s="76" t="s">
        <v>301</v>
      </c>
      <c r="L147" s="76" t="s">
        <v>167</v>
      </c>
      <c r="M147" s="76" t="s">
        <v>177</v>
      </c>
      <c r="N147" s="76" t="s">
        <v>301</v>
      </c>
      <c r="O147" s="76" t="s">
        <v>408</v>
      </c>
      <c r="P147" s="76" t="s">
        <v>171</v>
      </c>
      <c r="Q147" s="76" t="s">
        <v>171</v>
      </c>
      <c r="R147" s="77" t="s">
        <v>482</v>
      </c>
      <c r="T147" s="99" t="s">
        <v>174</v>
      </c>
      <c r="W147" s="86">
        <v>76.900000000000006</v>
      </c>
      <c r="Y147" s="84">
        <f t="shared" si="64"/>
        <v>511.92000000000002</v>
      </c>
      <c r="Z147" s="84">
        <f t="shared" si="65"/>
        <v>609.12</v>
      </c>
      <c r="AA147" s="84"/>
      <c r="AB147" s="84"/>
      <c r="AC147" s="84">
        <f t="shared" si="66"/>
        <v>655.44000000000005</v>
      </c>
      <c r="AD147" s="84">
        <f t="shared" si="67"/>
        <v>524.15999999999997</v>
      </c>
      <c r="AE147" s="84"/>
      <c r="AF147" s="84"/>
      <c r="AG147" s="84">
        <f t="shared" si="68"/>
        <v>1915.6800000000001</v>
      </c>
      <c r="AH147" s="84">
        <f t="shared" si="69"/>
        <v>484.07999999999998</v>
      </c>
      <c r="AI147" s="84"/>
      <c r="AJ147" s="84"/>
      <c r="AK147" s="84">
        <f t="shared" si="70"/>
        <v>4285.4400000000005</v>
      </c>
      <c r="AL147" s="84">
        <f t="shared" si="71"/>
        <v>484.07999999999998</v>
      </c>
      <c r="BM147" s="84">
        <v>213.30000000000001</v>
      </c>
      <c r="BN147" s="84">
        <v>253.80000000000001</v>
      </c>
      <c r="BO147" s="84" t="s">
        <v>175</v>
      </c>
      <c r="BQ147" s="84">
        <v>273.10000000000002</v>
      </c>
      <c r="BR147" s="84">
        <v>218.40000000000001</v>
      </c>
      <c r="BS147" s="84" t="s">
        <v>175</v>
      </c>
      <c r="BU147" s="84">
        <v>798.20000000000005</v>
      </c>
      <c r="BV147" s="84">
        <v>201.69999999999999</v>
      </c>
      <c r="BW147" s="84" t="s">
        <v>175</v>
      </c>
      <c r="BY147" s="84">
        <v>1785.5999999999999</v>
      </c>
      <c r="BZ147" s="84">
        <v>201.69999999999999</v>
      </c>
      <c r="CA147" s="84" t="s">
        <v>175</v>
      </c>
      <c r="CC147" s="84">
        <v>140</v>
      </c>
      <c r="CD147" s="84">
        <v>140</v>
      </c>
      <c r="CE147" s="84">
        <v>140</v>
      </c>
      <c r="CF147" s="84">
        <v>140</v>
      </c>
      <c r="CG147" s="84">
        <v>140</v>
      </c>
      <c r="CH147" s="84">
        <v>140</v>
      </c>
      <c r="CI147" s="84">
        <v>140</v>
      </c>
      <c r="CJ147" s="84">
        <v>140</v>
      </c>
    </row>
    <row r="148" s="76" customFormat="1">
      <c r="A148" s="77" t="s">
        <v>38</v>
      </c>
      <c r="B148" s="76" t="s">
        <v>150</v>
      </c>
      <c r="C148" s="76" t="s">
        <v>590</v>
      </c>
      <c r="D148" s="161" t="s">
        <v>564</v>
      </c>
      <c r="E148" s="177" t="s">
        <v>565</v>
      </c>
      <c r="F148" s="76" t="s">
        <v>181</v>
      </c>
      <c r="H148" s="76" t="s">
        <v>305</v>
      </c>
      <c r="I148" s="76" t="s">
        <v>167</v>
      </c>
      <c r="J148" s="76" t="s">
        <v>300</v>
      </c>
      <c r="K148" s="76" t="s">
        <v>442</v>
      </c>
      <c r="L148" s="76" t="s">
        <v>167</v>
      </c>
      <c r="M148" s="76" t="s">
        <v>177</v>
      </c>
      <c r="N148" s="76" t="s">
        <v>442</v>
      </c>
      <c r="O148" s="76" t="s">
        <v>408</v>
      </c>
      <c r="P148" s="76" t="s">
        <v>171</v>
      </c>
      <c r="Q148" s="76" t="s">
        <v>171</v>
      </c>
      <c r="R148" s="77" t="s">
        <v>482</v>
      </c>
      <c r="T148" s="99" t="s">
        <v>174</v>
      </c>
      <c r="W148" s="86">
        <v>76.900000000000006</v>
      </c>
      <c r="Y148" s="84">
        <f t="shared" si="64"/>
        <v>511.92000000000002</v>
      </c>
      <c r="Z148" s="84">
        <f t="shared" si="65"/>
        <v>609.12</v>
      </c>
      <c r="AA148" s="84"/>
      <c r="AB148" s="84"/>
      <c r="AC148" s="84">
        <f t="shared" si="66"/>
        <v>655.44000000000005</v>
      </c>
      <c r="AD148" s="84">
        <f t="shared" si="67"/>
        <v>524.15999999999997</v>
      </c>
      <c r="AE148" s="84"/>
      <c r="AF148" s="84"/>
      <c r="AG148" s="84">
        <f t="shared" si="68"/>
        <v>1915.6800000000001</v>
      </c>
      <c r="AH148" s="84">
        <f t="shared" si="69"/>
        <v>484.07999999999998</v>
      </c>
      <c r="AI148" s="84"/>
      <c r="AJ148" s="84"/>
      <c r="AK148" s="84">
        <f t="shared" si="70"/>
        <v>4285.4400000000005</v>
      </c>
      <c r="AL148" s="84">
        <f t="shared" si="71"/>
        <v>484.07999999999998</v>
      </c>
      <c r="BM148" s="84">
        <v>213.30000000000001</v>
      </c>
      <c r="BN148" s="84">
        <v>253.80000000000001</v>
      </c>
      <c r="BO148" s="84" t="s">
        <v>175</v>
      </c>
      <c r="BQ148" s="84">
        <v>273.10000000000002</v>
      </c>
      <c r="BR148" s="84">
        <v>218.40000000000001</v>
      </c>
      <c r="BS148" s="84" t="s">
        <v>175</v>
      </c>
      <c r="BU148" s="84">
        <v>798.20000000000005</v>
      </c>
      <c r="BV148" s="84">
        <v>201.69999999999999</v>
      </c>
      <c r="BW148" s="84" t="s">
        <v>175</v>
      </c>
      <c r="BY148" s="84">
        <v>1785.5999999999999</v>
      </c>
      <c r="BZ148" s="84">
        <v>201.69999999999999</v>
      </c>
      <c r="CA148" s="84" t="s">
        <v>175</v>
      </c>
      <c r="CC148" s="84">
        <v>140</v>
      </c>
      <c r="CD148" s="84">
        <v>140</v>
      </c>
      <c r="CE148" s="84">
        <v>140</v>
      </c>
      <c r="CF148" s="84">
        <v>140</v>
      </c>
      <c r="CG148" s="84">
        <v>140</v>
      </c>
      <c r="CH148" s="84">
        <v>140</v>
      </c>
      <c r="CI148" s="84">
        <v>140</v>
      </c>
      <c r="CJ148" s="84">
        <v>140</v>
      </c>
    </row>
    <row r="149">
      <c r="A149" s="57" t="s">
        <v>38</v>
      </c>
      <c r="B149" s="51" t="s">
        <v>150</v>
      </c>
      <c r="C149" s="51" t="s">
        <v>591</v>
      </c>
      <c r="D149" s="161" t="s">
        <v>564</v>
      </c>
      <c r="E149" s="177" t="s">
        <v>565</v>
      </c>
      <c r="F149" s="51" t="s">
        <v>181</v>
      </c>
      <c r="H149" s="51" t="s">
        <v>487</v>
      </c>
      <c r="I149" s="51" t="s">
        <v>167</v>
      </c>
      <c r="J149" s="51" t="s">
        <v>300</v>
      </c>
      <c r="K149" s="51" t="s">
        <v>301</v>
      </c>
      <c r="L149" s="51" t="s">
        <v>167</v>
      </c>
      <c r="M149" s="51" t="s">
        <v>300</v>
      </c>
      <c r="N149" s="51" t="s">
        <v>301</v>
      </c>
      <c r="O149" s="51" t="s">
        <v>408</v>
      </c>
      <c r="P149" s="51" t="s">
        <v>171</v>
      </c>
      <c r="Q149" s="51" t="s">
        <v>171</v>
      </c>
      <c r="R149" s="57" t="s">
        <v>482</v>
      </c>
      <c r="T149" s="106" t="s">
        <v>174</v>
      </c>
      <c r="W149" s="64">
        <v>68</v>
      </c>
      <c r="Y149" s="62">
        <f t="shared" si="64"/>
        <v>574.56000000000006</v>
      </c>
      <c r="Z149" s="62">
        <f t="shared" si="65"/>
        <v>615.84000000000003</v>
      </c>
      <c r="AA149" s="62"/>
      <c r="AB149" s="62"/>
      <c r="AC149" s="62">
        <f t="shared" si="66"/>
        <v>549.12</v>
      </c>
      <c r="AD149" s="62">
        <f t="shared" si="67"/>
        <v>555.60000000000002</v>
      </c>
      <c r="AE149" s="62"/>
      <c r="AF149" s="62"/>
      <c r="AG149" s="62">
        <f t="shared" si="68"/>
        <v>2118</v>
      </c>
      <c r="AH149" s="62">
        <f t="shared" si="69"/>
        <v>428.39999999999998</v>
      </c>
      <c r="AI149" s="62"/>
      <c r="AJ149" s="62"/>
      <c r="AK149" s="62">
        <f t="shared" si="70"/>
        <v>3804.2399999999998</v>
      </c>
      <c r="AL149" s="62">
        <f t="shared" si="71"/>
        <v>428.39999999999998</v>
      </c>
      <c r="BM149" s="62">
        <v>239.40000000000001</v>
      </c>
      <c r="BN149" s="62">
        <v>256.60000000000002</v>
      </c>
      <c r="BO149" s="62" t="s">
        <v>175</v>
      </c>
      <c r="BQ149" s="62">
        <v>228.80000000000001</v>
      </c>
      <c r="BR149" s="62">
        <v>231.5</v>
      </c>
      <c r="BS149" s="62" t="s">
        <v>175</v>
      </c>
      <c r="BU149" s="62">
        <v>882.5</v>
      </c>
      <c r="BV149" s="62">
        <v>178.5</v>
      </c>
      <c r="BW149" s="62" t="s">
        <v>175</v>
      </c>
      <c r="BY149" s="62">
        <v>1585.0999999999999</v>
      </c>
      <c r="BZ149" s="62">
        <v>178.5</v>
      </c>
      <c r="CA149" s="62" t="s">
        <v>175</v>
      </c>
      <c r="CC149" s="62">
        <v>140</v>
      </c>
      <c r="CD149" s="62">
        <v>140</v>
      </c>
      <c r="CE149" s="62">
        <v>140</v>
      </c>
      <c r="CF149" s="62">
        <v>140</v>
      </c>
      <c r="CG149" s="62">
        <v>140</v>
      </c>
      <c r="CH149" s="62">
        <v>140</v>
      </c>
      <c r="CI149" s="62">
        <v>140</v>
      </c>
      <c r="CJ149" s="62">
        <v>140</v>
      </c>
    </row>
    <row r="150">
      <c r="A150" s="57" t="s">
        <v>38</v>
      </c>
      <c r="B150" s="51" t="s">
        <v>150</v>
      </c>
      <c r="C150" s="51" t="s">
        <v>592</v>
      </c>
      <c r="D150" s="161" t="s">
        <v>564</v>
      </c>
      <c r="E150" s="177" t="s">
        <v>565</v>
      </c>
      <c r="F150" s="51" t="s">
        <v>181</v>
      </c>
      <c r="H150" s="51" t="s">
        <v>487</v>
      </c>
      <c r="I150" s="51" t="s">
        <v>167</v>
      </c>
      <c r="J150" s="51" t="s">
        <v>300</v>
      </c>
      <c r="K150" s="51" t="s">
        <v>442</v>
      </c>
      <c r="L150" s="51" t="s">
        <v>167</v>
      </c>
      <c r="M150" s="51" t="s">
        <v>300</v>
      </c>
      <c r="N150" s="51" t="s">
        <v>442</v>
      </c>
      <c r="O150" s="51" t="s">
        <v>408</v>
      </c>
      <c r="P150" s="51" t="s">
        <v>171</v>
      </c>
      <c r="Q150" s="51" t="s">
        <v>171</v>
      </c>
      <c r="R150" s="57" t="s">
        <v>482</v>
      </c>
      <c r="T150" s="106" t="s">
        <v>174</v>
      </c>
      <c r="W150" s="64">
        <v>68</v>
      </c>
      <c r="Y150" s="62">
        <f t="shared" si="64"/>
        <v>574.56000000000006</v>
      </c>
      <c r="Z150" s="62">
        <f t="shared" si="65"/>
        <v>615.84000000000003</v>
      </c>
      <c r="AA150" s="62"/>
      <c r="AB150" s="62"/>
      <c r="AC150" s="62">
        <f t="shared" si="66"/>
        <v>549.12</v>
      </c>
      <c r="AD150" s="62">
        <f t="shared" si="67"/>
        <v>555.60000000000002</v>
      </c>
      <c r="AE150" s="62"/>
      <c r="AF150" s="62"/>
      <c r="AG150" s="62">
        <f t="shared" si="68"/>
        <v>2118</v>
      </c>
      <c r="AH150" s="62">
        <f t="shared" si="69"/>
        <v>428.39999999999998</v>
      </c>
      <c r="AI150" s="62"/>
      <c r="AJ150" s="62"/>
      <c r="AK150" s="62">
        <f t="shared" si="70"/>
        <v>3804.2399999999998</v>
      </c>
      <c r="AL150" s="62">
        <f t="shared" si="71"/>
        <v>428.39999999999998</v>
      </c>
      <c r="BM150" s="62">
        <v>239.40000000000001</v>
      </c>
      <c r="BN150" s="62">
        <v>256.60000000000002</v>
      </c>
      <c r="BO150" s="62" t="s">
        <v>175</v>
      </c>
      <c r="BQ150" s="62">
        <v>228.80000000000001</v>
      </c>
      <c r="BR150" s="62">
        <v>231.5</v>
      </c>
      <c r="BS150" s="62" t="s">
        <v>175</v>
      </c>
      <c r="BU150" s="62">
        <v>882.5</v>
      </c>
      <c r="BV150" s="62">
        <v>178.5</v>
      </c>
      <c r="BW150" s="62" t="s">
        <v>175</v>
      </c>
      <c r="BY150" s="62">
        <v>1585.0999999999999</v>
      </c>
      <c r="BZ150" s="62">
        <v>178.5</v>
      </c>
      <c r="CA150" s="62" t="s">
        <v>175</v>
      </c>
      <c r="CC150" s="62">
        <v>140</v>
      </c>
      <c r="CD150" s="62">
        <v>140</v>
      </c>
      <c r="CE150" s="62">
        <v>140</v>
      </c>
      <c r="CF150" s="62">
        <v>140</v>
      </c>
      <c r="CG150" s="62">
        <v>140</v>
      </c>
      <c r="CH150" s="62">
        <v>140</v>
      </c>
      <c r="CI150" s="62">
        <v>140</v>
      </c>
      <c r="CJ150" s="62">
        <v>140</v>
      </c>
    </row>
    <row r="151">
      <c r="A151" s="57" t="s">
        <v>38</v>
      </c>
      <c r="B151" s="51" t="s">
        <v>150</v>
      </c>
      <c r="C151" s="51" t="s">
        <v>593</v>
      </c>
      <c r="D151" s="161" t="s">
        <v>564</v>
      </c>
      <c r="E151" s="177" t="s">
        <v>565</v>
      </c>
      <c r="F151" s="51" t="s">
        <v>181</v>
      </c>
      <c r="H151" s="51" t="s">
        <v>487</v>
      </c>
      <c r="I151" s="51" t="s">
        <v>167</v>
      </c>
      <c r="J151" s="51" t="s">
        <v>300</v>
      </c>
      <c r="K151" s="51" t="s">
        <v>301</v>
      </c>
      <c r="L151" s="51" t="s">
        <v>167</v>
      </c>
      <c r="M151" s="51" t="s">
        <v>168</v>
      </c>
      <c r="N151" s="51" t="s">
        <v>301</v>
      </c>
      <c r="O151" s="51" t="s">
        <v>408</v>
      </c>
      <c r="P151" s="51" t="s">
        <v>171</v>
      </c>
      <c r="Q151" s="51" t="s">
        <v>171</v>
      </c>
      <c r="R151" s="57" t="s">
        <v>482</v>
      </c>
      <c r="T151" s="106" t="s">
        <v>174</v>
      </c>
      <c r="W151" s="64">
        <v>78.099999999999994</v>
      </c>
      <c r="Y151" s="62">
        <f t="shared" si="64"/>
        <v>601.92000000000007</v>
      </c>
      <c r="Z151" s="62">
        <f t="shared" si="65"/>
        <v>699.12</v>
      </c>
      <c r="AA151" s="62"/>
      <c r="AB151" s="62"/>
      <c r="AC151" s="62">
        <f t="shared" si="66"/>
        <v>786</v>
      </c>
      <c r="AD151" s="62">
        <f t="shared" si="67"/>
        <v>597.36000000000001</v>
      </c>
      <c r="AE151" s="62"/>
      <c r="AF151" s="62"/>
      <c r="AG151" s="62">
        <f t="shared" si="68"/>
        <v>3271.4399999999996</v>
      </c>
      <c r="AH151" s="62">
        <f t="shared" si="69"/>
        <v>492</v>
      </c>
      <c r="AI151" s="62"/>
      <c r="AJ151" s="62"/>
      <c r="AK151" s="62">
        <f t="shared" si="70"/>
        <v>4356.96</v>
      </c>
      <c r="AL151" s="62">
        <f t="shared" si="71"/>
        <v>492</v>
      </c>
      <c r="BM151" s="62">
        <v>250.80000000000001</v>
      </c>
      <c r="BN151" s="62">
        <v>291.30000000000001</v>
      </c>
      <c r="BO151" s="62" t="s">
        <v>175</v>
      </c>
      <c r="BQ151" s="62">
        <v>327.5</v>
      </c>
      <c r="BR151" s="62">
        <v>248.90000000000001</v>
      </c>
      <c r="BS151" s="62" t="s">
        <v>175</v>
      </c>
      <c r="BU151" s="62">
        <v>1363.0999999999999</v>
      </c>
      <c r="BV151" s="62">
        <v>205</v>
      </c>
      <c r="BW151" s="62" t="s">
        <v>175</v>
      </c>
      <c r="BY151" s="62">
        <v>1815.4000000000001</v>
      </c>
      <c r="BZ151" s="62">
        <v>205</v>
      </c>
      <c r="CA151" s="62" t="s">
        <v>175</v>
      </c>
      <c r="CC151" s="62">
        <v>140</v>
      </c>
      <c r="CD151" s="62">
        <v>140</v>
      </c>
      <c r="CE151" s="62">
        <v>140</v>
      </c>
      <c r="CF151" s="62">
        <v>140</v>
      </c>
      <c r="CG151" s="62">
        <v>140</v>
      </c>
      <c r="CH151" s="62">
        <v>140</v>
      </c>
      <c r="CI151" s="62">
        <v>140</v>
      </c>
      <c r="CJ151" s="62">
        <v>140</v>
      </c>
    </row>
    <row r="152">
      <c r="A152" s="57" t="s">
        <v>38</v>
      </c>
      <c r="B152" s="51" t="s">
        <v>150</v>
      </c>
      <c r="C152" s="51" t="s">
        <v>594</v>
      </c>
      <c r="D152" s="161" t="s">
        <v>564</v>
      </c>
      <c r="E152" s="177" t="s">
        <v>565</v>
      </c>
      <c r="F152" s="51" t="s">
        <v>181</v>
      </c>
      <c r="H152" s="51" t="s">
        <v>487</v>
      </c>
      <c r="I152" s="51" t="s">
        <v>167</v>
      </c>
      <c r="J152" s="51" t="s">
        <v>300</v>
      </c>
      <c r="K152" s="51" t="s">
        <v>442</v>
      </c>
      <c r="L152" s="51" t="s">
        <v>167</v>
      </c>
      <c r="M152" s="51" t="s">
        <v>168</v>
      </c>
      <c r="N152" s="51" t="s">
        <v>442</v>
      </c>
      <c r="O152" s="51" t="s">
        <v>408</v>
      </c>
      <c r="P152" s="51" t="s">
        <v>171</v>
      </c>
      <c r="Q152" s="51" t="s">
        <v>171</v>
      </c>
      <c r="R152" s="57" t="s">
        <v>482</v>
      </c>
      <c r="T152" s="106" t="s">
        <v>174</v>
      </c>
      <c r="W152" s="64">
        <v>78.099999999999994</v>
      </c>
      <c r="Y152" s="62">
        <f t="shared" si="64"/>
        <v>601.92000000000007</v>
      </c>
      <c r="Z152" s="62">
        <f t="shared" si="65"/>
        <v>699.12</v>
      </c>
      <c r="AA152" s="62"/>
      <c r="AB152" s="62"/>
      <c r="AC152" s="62">
        <f t="shared" si="66"/>
        <v>786</v>
      </c>
      <c r="AD152" s="62">
        <f t="shared" si="67"/>
        <v>597.36000000000001</v>
      </c>
      <c r="AE152" s="62"/>
      <c r="AF152" s="62"/>
      <c r="AG152" s="62">
        <f t="shared" si="68"/>
        <v>3271.4399999999996</v>
      </c>
      <c r="AH152" s="62">
        <f t="shared" si="69"/>
        <v>492</v>
      </c>
      <c r="AI152" s="62"/>
      <c r="AJ152" s="62"/>
      <c r="AK152" s="62">
        <f t="shared" si="70"/>
        <v>4356.96</v>
      </c>
      <c r="AL152" s="62">
        <f t="shared" si="71"/>
        <v>492</v>
      </c>
      <c r="BM152" s="62">
        <v>250.80000000000001</v>
      </c>
      <c r="BN152" s="62">
        <v>291.30000000000001</v>
      </c>
      <c r="BO152" s="62" t="s">
        <v>175</v>
      </c>
      <c r="BQ152" s="62">
        <v>327.5</v>
      </c>
      <c r="BR152" s="62">
        <v>248.90000000000001</v>
      </c>
      <c r="BS152" s="62" t="s">
        <v>175</v>
      </c>
      <c r="BU152" s="62">
        <v>1363.0999999999999</v>
      </c>
      <c r="BV152" s="62">
        <v>205</v>
      </c>
      <c r="BW152" s="62" t="s">
        <v>175</v>
      </c>
      <c r="BY152" s="62">
        <v>1815.4000000000001</v>
      </c>
      <c r="BZ152" s="62">
        <v>205</v>
      </c>
      <c r="CA152" s="62" t="s">
        <v>175</v>
      </c>
      <c r="CC152" s="62">
        <v>140</v>
      </c>
      <c r="CD152" s="62">
        <v>140</v>
      </c>
      <c r="CE152" s="62">
        <v>140</v>
      </c>
      <c r="CF152" s="62">
        <v>140</v>
      </c>
      <c r="CG152" s="62">
        <v>140</v>
      </c>
      <c r="CH152" s="62">
        <v>140</v>
      </c>
      <c r="CI152" s="62">
        <v>140</v>
      </c>
      <c r="CJ152" s="62">
        <v>140</v>
      </c>
    </row>
    <row r="153">
      <c r="A153" s="57" t="s">
        <v>38</v>
      </c>
      <c r="B153" s="51" t="s">
        <v>150</v>
      </c>
      <c r="C153" s="51" t="s">
        <v>595</v>
      </c>
      <c r="D153" s="161" t="s">
        <v>564</v>
      </c>
      <c r="E153" s="177" t="s">
        <v>565</v>
      </c>
      <c r="F153" s="51" t="s">
        <v>181</v>
      </c>
      <c r="H153" s="51" t="s">
        <v>487</v>
      </c>
      <c r="I153" s="51" t="s">
        <v>167</v>
      </c>
      <c r="J153" s="51" t="s">
        <v>300</v>
      </c>
      <c r="K153" s="51" t="s">
        <v>301</v>
      </c>
      <c r="L153" s="51" t="s">
        <v>167</v>
      </c>
      <c r="M153" s="51" t="s">
        <v>177</v>
      </c>
      <c r="N153" s="51" t="s">
        <v>301</v>
      </c>
      <c r="O153" s="51" t="s">
        <v>408</v>
      </c>
      <c r="P153" s="51" t="s">
        <v>171</v>
      </c>
      <c r="Q153" s="51" t="s">
        <v>171</v>
      </c>
      <c r="R153" s="57" t="s">
        <v>482</v>
      </c>
      <c r="T153" s="106" t="s">
        <v>174</v>
      </c>
      <c r="W153" s="64">
        <v>88.200000000000003</v>
      </c>
      <c r="Y153" s="62">
        <f t="shared" si="64"/>
        <v>625.68000000000006</v>
      </c>
      <c r="Z153" s="62">
        <f t="shared" si="65"/>
        <v>707.03999999999996</v>
      </c>
      <c r="AA153" s="62"/>
      <c r="AB153" s="62"/>
      <c r="AC153" s="62">
        <f t="shared" si="66"/>
        <v>793.68000000000006</v>
      </c>
      <c r="AD153" s="62">
        <f t="shared" si="67"/>
        <v>604.31999999999994</v>
      </c>
      <c r="AE153" s="62"/>
      <c r="AF153" s="62"/>
      <c r="AG153" s="62">
        <f t="shared" si="68"/>
        <v>2441.2799999999997</v>
      </c>
      <c r="AH153" s="62">
        <f t="shared" si="69"/>
        <v>555.36000000000001</v>
      </c>
      <c r="AI153" s="62"/>
      <c r="AJ153" s="62"/>
      <c r="AK153" s="62">
        <f t="shared" si="70"/>
        <v>4929.1200000000008</v>
      </c>
      <c r="AL153" s="62">
        <f t="shared" si="71"/>
        <v>555.36000000000001</v>
      </c>
      <c r="BM153" s="62">
        <v>260.69999999999999</v>
      </c>
      <c r="BN153" s="62">
        <v>294.60000000000002</v>
      </c>
      <c r="BO153" s="62" t="s">
        <v>175</v>
      </c>
      <c r="BQ153" s="62">
        <v>330.69999999999999</v>
      </c>
      <c r="BR153" s="62">
        <v>251.80000000000001</v>
      </c>
      <c r="BS153" s="62" t="s">
        <v>175</v>
      </c>
      <c r="BU153" s="62">
        <v>1017.2</v>
      </c>
      <c r="BV153" s="62">
        <v>231.40000000000001</v>
      </c>
      <c r="BW153" s="62" t="s">
        <v>175</v>
      </c>
      <c r="BY153" s="62">
        <v>2053.8000000000002</v>
      </c>
      <c r="BZ153" s="62">
        <v>231.40000000000001</v>
      </c>
      <c r="CA153" s="62" t="s">
        <v>175</v>
      </c>
      <c r="CC153" s="62">
        <v>140</v>
      </c>
      <c r="CD153" s="62">
        <v>140</v>
      </c>
      <c r="CE153" s="62">
        <v>140</v>
      </c>
      <c r="CF153" s="62">
        <v>140</v>
      </c>
      <c r="CG153" s="62">
        <v>140</v>
      </c>
      <c r="CH153" s="62">
        <v>140</v>
      </c>
      <c r="CI153" s="62">
        <v>140</v>
      </c>
      <c r="CJ153" s="62">
        <v>140</v>
      </c>
    </row>
    <row r="154">
      <c r="A154" s="57" t="s">
        <v>38</v>
      </c>
      <c r="B154" s="51" t="s">
        <v>150</v>
      </c>
      <c r="C154" s="51" t="s">
        <v>596</v>
      </c>
      <c r="D154" s="161" t="s">
        <v>564</v>
      </c>
      <c r="E154" s="177" t="s">
        <v>565</v>
      </c>
      <c r="F154" s="51" t="s">
        <v>181</v>
      </c>
      <c r="H154" s="51" t="s">
        <v>487</v>
      </c>
      <c r="I154" s="51" t="s">
        <v>167</v>
      </c>
      <c r="J154" s="51" t="s">
        <v>300</v>
      </c>
      <c r="K154" s="51" t="s">
        <v>442</v>
      </c>
      <c r="L154" s="51" t="s">
        <v>167</v>
      </c>
      <c r="M154" s="51" t="s">
        <v>177</v>
      </c>
      <c r="N154" s="51" t="s">
        <v>442</v>
      </c>
      <c r="O154" s="51" t="s">
        <v>408</v>
      </c>
      <c r="P154" s="51" t="s">
        <v>171</v>
      </c>
      <c r="Q154" s="51" t="s">
        <v>171</v>
      </c>
      <c r="R154" s="57" t="s">
        <v>482</v>
      </c>
      <c r="T154" s="106" t="s">
        <v>174</v>
      </c>
      <c r="W154" s="64">
        <v>88.200000000000003</v>
      </c>
      <c r="Y154" s="62">
        <f t="shared" si="64"/>
        <v>625.68000000000006</v>
      </c>
      <c r="Z154" s="62">
        <f t="shared" si="65"/>
        <v>707.03999999999996</v>
      </c>
      <c r="AA154" s="62"/>
      <c r="AB154" s="62"/>
      <c r="AC154" s="62">
        <f t="shared" si="66"/>
        <v>793.68000000000006</v>
      </c>
      <c r="AD154" s="62">
        <f t="shared" si="67"/>
        <v>604.31999999999994</v>
      </c>
      <c r="AE154" s="62"/>
      <c r="AF154" s="62"/>
      <c r="AG154" s="62">
        <f t="shared" si="68"/>
        <v>2441.2799999999997</v>
      </c>
      <c r="AH154" s="62">
        <f t="shared" si="69"/>
        <v>555.36000000000001</v>
      </c>
      <c r="AI154" s="62"/>
      <c r="AJ154" s="62"/>
      <c r="AK154" s="62">
        <f t="shared" si="70"/>
        <v>4929.1200000000008</v>
      </c>
      <c r="AL154" s="62">
        <f t="shared" si="71"/>
        <v>555.36000000000001</v>
      </c>
      <c r="BM154" s="62">
        <v>260.69999999999999</v>
      </c>
      <c r="BN154" s="62">
        <v>294.60000000000002</v>
      </c>
      <c r="BO154" s="62" t="s">
        <v>175</v>
      </c>
      <c r="BQ154" s="62">
        <v>330.69999999999999</v>
      </c>
      <c r="BR154" s="62">
        <v>251.80000000000001</v>
      </c>
      <c r="BS154" s="62" t="s">
        <v>175</v>
      </c>
      <c r="BU154" s="62">
        <v>1017.2</v>
      </c>
      <c r="BV154" s="62">
        <v>231.40000000000001</v>
      </c>
      <c r="BW154" s="62" t="s">
        <v>175</v>
      </c>
      <c r="BY154" s="62">
        <v>2053.8000000000002</v>
      </c>
      <c r="BZ154" s="62">
        <v>231.40000000000001</v>
      </c>
      <c r="CA154" s="62" t="s">
        <v>175</v>
      </c>
      <c r="CC154" s="62">
        <v>140</v>
      </c>
      <c r="CD154" s="62">
        <v>140</v>
      </c>
      <c r="CE154" s="62">
        <v>140</v>
      </c>
      <c r="CF154" s="62">
        <v>140</v>
      </c>
      <c r="CG154" s="62">
        <v>140</v>
      </c>
      <c r="CH154" s="62">
        <v>140</v>
      </c>
      <c r="CI154" s="62">
        <v>140</v>
      </c>
      <c r="CJ154" s="62">
        <v>140</v>
      </c>
    </row>
    <row r="155" s="76" customFormat="1">
      <c r="A155" s="77" t="s">
        <v>38</v>
      </c>
      <c r="B155" s="76" t="s">
        <v>150</v>
      </c>
      <c r="C155" s="76" t="s">
        <v>597</v>
      </c>
      <c r="D155" s="161" t="s">
        <v>564</v>
      </c>
      <c r="E155" s="177" t="s">
        <v>565</v>
      </c>
      <c r="F155" s="76" t="s">
        <v>181</v>
      </c>
      <c r="H155" s="76" t="s">
        <v>490</v>
      </c>
      <c r="I155" s="76" t="s">
        <v>167</v>
      </c>
      <c r="J155" s="76" t="s">
        <v>300</v>
      </c>
      <c r="K155" s="76" t="s">
        <v>301</v>
      </c>
      <c r="L155" s="76" t="s">
        <v>167</v>
      </c>
      <c r="M155" s="76" t="s">
        <v>300</v>
      </c>
      <c r="N155" s="76" t="s">
        <v>301</v>
      </c>
      <c r="O155" s="76" t="s">
        <v>408</v>
      </c>
      <c r="P155" s="76" t="s">
        <v>171</v>
      </c>
      <c r="Q155" s="76" t="s">
        <v>171</v>
      </c>
      <c r="R155" s="77" t="s">
        <v>482</v>
      </c>
      <c r="T155" s="99" t="s">
        <v>174</v>
      </c>
      <c r="W155" s="86">
        <v>79.400000000000006</v>
      </c>
      <c r="Y155" s="84">
        <f t="shared" si="64"/>
        <v>655.68000000000006</v>
      </c>
      <c r="Z155" s="84">
        <f t="shared" si="65"/>
        <v>737.51999999999998</v>
      </c>
      <c r="AA155" s="84"/>
      <c r="AB155" s="84"/>
      <c r="AC155" s="84">
        <f t="shared" si="66"/>
        <v>821.03999999999996</v>
      </c>
      <c r="AD155" s="84">
        <f t="shared" si="67"/>
        <v>635.27999999999997</v>
      </c>
      <c r="AE155" s="84"/>
      <c r="AF155" s="84"/>
      <c r="AG155" s="84">
        <f t="shared" si="68"/>
        <v>2015.7599999999998</v>
      </c>
      <c r="AH155" s="84">
        <f t="shared" si="69"/>
        <v>499.92000000000002</v>
      </c>
      <c r="AI155" s="84"/>
      <c r="AJ155" s="84"/>
      <c r="AK155" s="84">
        <f t="shared" si="70"/>
        <v>4428.4800000000005</v>
      </c>
      <c r="AL155" s="84">
        <f t="shared" si="71"/>
        <v>499.92000000000002</v>
      </c>
      <c r="BM155" s="84">
        <v>273.19999999999999</v>
      </c>
      <c r="BN155" s="84">
        <v>307.30000000000001</v>
      </c>
      <c r="BO155" s="84" t="s">
        <v>175</v>
      </c>
      <c r="BQ155" s="84">
        <v>342.10000000000002</v>
      </c>
      <c r="BR155" s="84">
        <v>264.69999999999999</v>
      </c>
      <c r="BS155" s="84" t="s">
        <v>175</v>
      </c>
      <c r="BU155" s="84">
        <v>839.89999999999998</v>
      </c>
      <c r="BV155" s="84">
        <v>208.30000000000001</v>
      </c>
      <c r="BW155" s="84" t="s">
        <v>175</v>
      </c>
      <c r="BY155" s="84">
        <v>1845.2</v>
      </c>
      <c r="BZ155" s="84">
        <v>208.30000000000001</v>
      </c>
      <c r="CA155" s="84" t="s">
        <v>175</v>
      </c>
      <c r="CC155" s="84">
        <v>140</v>
      </c>
      <c r="CD155" s="84">
        <v>140</v>
      </c>
      <c r="CE155" s="84">
        <v>140</v>
      </c>
      <c r="CF155" s="84">
        <v>140</v>
      </c>
      <c r="CG155" s="84">
        <v>140</v>
      </c>
      <c r="CH155" s="84">
        <v>140</v>
      </c>
      <c r="CI155" s="84">
        <v>140</v>
      </c>
      <c r="CJ155" s="84">
        <v>140</v>
      </c>
    </row>
    <row r="156" s="76" customFormat="1">
      <c r="A156" s="77" t="s">
        <v>38</v>
      </c>
      <c r="B156" s="76" t="s">
        <v>150</v>
      </c>
      <c r="C156" s="76" t="s">
        <v>598</v>
      </c>
      <c r="D156" s="161" t="s">
        <v>564</v>
      </c>
      <c r="E156" s="177" t="s">
        <v>565</v>
      </c>
      <c r="F156" s="76" t="s">
        <v>181</v>
      </c>
      <c r="H156" s="76" t="s">
        <v>490</v>
      </c>
      <c r="I156" s="76" t="s">
        <v>167</v>
      </c>
      <c r="J156" s="76" t="s">
        <v>300</v>
      </c>
      <c r="K156" s="76" t="s">
        <v>442</v>
      </c>
      <c r="L156" s="76" t="s">
        <v>167</v>
      </c>
      <c r="M156" s="76" t="s">
        <v>300</v>
      </c>
      <c r="N156" s="76" t="s">
        <v>442</v>
      </c>
      <c r="O156" s="76" t="s">
        <v>408</v>
      </c>
      <c r="P156" s="76" t="s">
        <v>171</v>
      </c>
      <c r="Q156" s="76" t="s">
        <v>171</v>
      </c>
      <c r="R156" s="77" t="s">
        <v>482</v>
      </c>
      <c r="T156" s="99" t="s">
        <v>174</v>
      </c>
      <c r="W156" s="86">
        <v>79.400000000000006</v>
      </c>
      <c r="Y156" s="84">
        <f t="shared" si="64"/>
        <v>655.68000000000006</v>
      </c>
      <c r="Z156" s="84">
        <f t="shared" si="65"/>
        <v>737.51999999999998</v>
      </c>
      <c r="AA156" s="84"/>
      <c r="AB156" s="84"/>
      <c r="AC156" s="84">
        <f t="shared" si="66"/>
        <v>821.03999999999996</v>
      </c>
      <c r="AD156" s="84">
        <f t="shared" si="67"/>
        <v>635.27999999999997</v>
      </c>
      <c r="AE156" s="84"/>
      <c r="AF156" s="84"/>
      <c r="AG156" s="84">
        <f t="shared" si="68"/>
        <v>2015.7599999999998</v>
      </c>
      <c r="AH156" s="84">
        <f t="shared" si="69"/>
        <v>499.92000000000002</v>
      </c>
      <c r="AI156" s="84"/>
      <c r="AJ156" s="84"/>
      <c r="AK156" s="84">
        <f t="shared" si="70"/>
        <v>4428.4800000000005</v>
      </c>
      <c r="AL156" s="84">
        <f t="shared" si="71"/>
        <v>499.92000000000002</v>
      </c>
      <c r="BM156" s="84">
        <v>273.19999999999999</v>
      </c>
      <c r="BN156" s="84">
        <v>307.30000000000001</v>
      </c>
      <c r="BO156" s="84" t="s">
        <v>175</v>
      </c>
      <c r="BQ156" s="84">
        <v>342.10000000000002</v>
      </c>
      <c r="BR156" s="84">
        <v>264.69999999999999</v>
      </c>
      <c r="BS156" s="84" t="s">
        <v>175</v>
      </c>
      <c r="BU156" s="84">
        <v>839.89999999999998</v>
      </c>
      <c r="BV156" s="84">
        <v>208.30000000000001</v>
      </c>
      <c r="BW156" s="84" t="s">
        <v>175</v>
      </c>
      <c r="BY156" s="84">
        <v>1845.2</v>
      </c>
      <c r="BZ156" s="84">
        <v>208.30000000000001</v>
      </c>
      <c r="CA156" s="84" t="s">
        <v>175</v>
      </c>
      <c r="CC156" s="84">
        <v>140</v>
      </c>
      <c r="CD156" s="84">
        <v>140</v>
      </c>
      <c r="CE156" s="84">
        <v>140</v>
      </c>
      <c r="CF156" s="84">
        <v>140</v>
      </c>
      <c r="CG156" s="84">
        <v>140</v>
      </c>
      <c r="CH156" s="84">
        <v>140</v>
      </c>
      <c r="CI156" s="84">
        <v>140</v>
      </c>
      <c r="CJ156" s="84">
        <v>140</v>
      </c>
    </row>
    <row r="157" s="76" customFormat="1">
      <c r="A157" s="77" t="s">
        <v>38</v>
      </c>
      <c r="B157" s="76" t="s">
        <v>150</v>
      </c>
      <c r="C157" s="76" t="s">
        <v>599</v>
      </c>
      <c r="D157" s="161" t="s">
        <v>564</v>
      </c>
      <c r="E157" s="177" t="s">
        <v>565</v>
      </c>
      <c r="F157" s="76" t="s">
        <v>181</v>
      </c>
      <c r="H157" s="76" t="s">
        <v>490</v>
      </c>
      <c r="I157" s="76" t="s">
        <v>167</v>
      </c>
      <c r="J157" s="76" t="s">
        <v>300</v>
      </c>
      <c r="K157" s="76" t="s">
        <v>301</v>
      </c>
      <c r="L157" s="76" t="s">
        <v>167</v>
      </c>
      <c r="M157" s="76" t="s">
        <v>168</v>
      </c>
      <c r="N157" s="76" t="s">
        <v>301</v>
      </c>
      <c r="O157" s="76" t="s">
        <v>408</v>
      </c>
      <c r="P157" s="76" t="s">
        <v>171</v>
      </c>
      <c r="Q157" s="76" t="s">
        <v>171</v>
      </c>
      <c r="R157" s="77" t="s">
        <v>482</v>
      </c>
      <c r="T157" s="99" t="s">
        <v>174</v>
      </c>
      <c r="W157" s="86">
        <v>89.400000000000006</v>
      </c>
      <c r="Y157" s="84">
        <f t="shared" si="64"/>
        <v>672</v>
      </c>
      <c r="Z157" s="84">
        <f t="shared" si="65"/>
        <v>797.03999999999996</v>
      </c>
      <c r="AA157" s="84"/>
      <c r="AB157" s="84"/>
      <c r="AC157" s="84">
        <f t="shared" si="66"/>
        <v>891.60000000000002</v>
      </c>
      <c r="AD157" s="84">
        <f t="shared" si="67"/>
        <v>682.55999999999995</v>
      </c>
      <c r="AE157" s="84"/>
      <c r="AF157" s="84"/>
      <c r="AG157" s="84">
        <f t="shared" si="68"/>
        <v>3049.4399999999996</v>
      </c>
      <c r="AH157" s="84">
        <f t="shared" si="69"/>
        <v>563.27999999999997</v>
      </c>
      <c r="AI157" s="84"/>
      <c r="AJ157" s="84"/>
      <c r="AK157" s="84">
        <f t="shared" si="70"/>
        <v>5000.6399999999994</v>
      </c>
      <c r="AL157" s="84">
        <f t="shared" si="71"/>
        <v>563.27999999999997</v>
      </c>
      <c r="BM157" s="84">
        <v>280</v>
      </c>
      <c r="BN157" s="84">
        <v>332.10000000000002</v>
      </c>
      <c r="BO157" s="84" t="s">
        <v>175</v>
      </c>
      <c r="BQ157" s="84">
        <v>371.5</v>
      </c>
      <c r="BR157" s="84">
        <v>284.39999999999998</v>
      </c>
      <c r="BS157" s="84" t="s">
        <v>175</v>
      </c>
      <c r="BU157" s="84">
        <v>1270.5999999999999</v>
      </c>
      <c r="BV157" s="84">
        <v>234.69999999999999</v>
      </c>
      <c r="BW157" s="84" t="s">
        <v>175</v>
      </c>
      <c r="BY157" s="84">
        <v>2083.5999999999999</v>
      </c>
      <c r="BZ157" s="84">
        <v>234.69999999999999</v>
      </c>
      <c r="CA157" s="84" t="s">
        <v>175</v>
      </c>
      <c r="CC157" s="84">
        <v>140</v>
      </c>
      <c r="CD157" s="84">
        <v>140</v>
      </c>
      <c r="CE157" s="84">
        <v>140</v>
      </c>
      <c r="CF157" s="84">
        <v>140</v>
      </c>
      <c r="CG157" s="84">
        <v>140</v>
      </c>
      <c r="CH157" s="84">
        <v>140</v>
      </c>
      <c r="CI157" s="84">
        <v>140</v>
      </c>
      <c r="CJ157" s="84">
        <v>140</v>
      </c>
    </row>
    <row r="158" s="76" customFormat="1">
      <c r="A158" s="77" t="s">
        <v>38</v>
      </c>
      <c r="B158" s="76" t="s">
        <v>150</v>
      </c>
      <c r="C158" s="76" t="s">
        <v>600</v>
      </c>
      <c r="D158" s="161" t="s">
        <v>564</v>
      </c>
      <c r="E158" s="177" t="s">
        <v>565</v>
      </c>
      <c r="F158" s="76" t="s">
        <v>181</v>
      </c>
      <c r="H158" s="76" t="s">
        <v>490</v>
      </c>
      <c r="I158" s="76" t="s">
        <v>167</v>
      </c>
      <c r="J158" s="76" t="s">
        <v>300</v>
      </c>
      <c r="K158" s="76" t="s">
        <v>442</v>
      </c>
      <c r="L158" s="76" t="s">
        <v>167</v>
      </c>
      <c r="M158" s="76" t="s">
        <v>168</v>
      </c>
      <c r="N158" s="76" t="s">
        <v>442</v>
      </c>
      <c r="O158" s="76" t="s">
        <v>408</v>
      </c>
      <c r="P158" s="76" t="s">
        <v>171</v>
      </c>
      <c r="Q158" s="76" t="s">
        <v>171</v>
      </c>
      <c r="R158" s="77" t="s">
        <v>482</v>
      </c>
      <c r="T158" s="99" t="s">
        <v>174</v>
      </c>
      <c r="W158" s="86">
        <v>89.400000000000006</v>
      </c>
      <c r="Y158" s="84">
        <f t="shared" si="64"/>
        <v>672</v>
      </c>
      <c r="Z158" s="84">
        <f t="shared" si="65"/>
        <v>797.03999999999996</v>
      </c>
      <c r="AA158" s="84"/>
      <c r="AB158" s="84"/>
      <c r="AC158" s="84">
        <f t="shared" si="66"/>
        <v>891.60000000000002</v>
      </c>
      <c r="AD158" s="84">
        <f t="shared" si="67"/>
        <v>682.55999999999995</v>
      </c>
      <c r="AE158" s="84"/>
      <c r="AF158" s="84"/>
      <c r="AG158" s="84">
        <f t="shared" si="68"/>
        <v>3049.4399999999996</v>
      </c>
      <c r="AH158" s="84">
        <f t="shared" si="69"/>
        <v>563.27999999999997</v>
      </c>
      <c r="AI158" s="84"/>
      <c r="AJ158" s="84"/>
      <c r="AK158" s="84">
        <f t="shared" si="70"/>
        <v>5000.6399999999994</v>
      </c>
      <c r="AL158" s="84">
        <f t="shared" si="71"/>
        <v>563.27999999999997</v>
      </c>
      <c r="BM158" s="84">
        <v>280</v>
      </c>
      <c r="BN158" s="84">
        <v>332.10000000000002</v>
      </c>
      <c r="BO158" s="84" t="s">
        <v>175</v>
      </c>
      <c r="BQ158" s="84">
        <v>371.5</v>
      </c>
      <c r="BR158" s="84">
        <v>284.39999999999998</v>
      </c>
      <c r="BS158" s="84" t="s">
        <v>175</v>
      </c>
      <c r="BU158" s="84">
        <v>1270.5999999999999</v>
      </c>
      <c r="BV158" s="84">
        <v>234.69999999999999</v>
      </c>
      <c r="BW158" s="84" t="s">
        <v>175</v>
      </c>
      <c r="BY158" s="84">
        <v>2083.5999999999999</v>
      </c>
      <c r="BZ158" s="84">
        <v>234.69999999999999</v>
      </c>
      <c r="CA158" s="84" t="s">
        <v>175</v>
      </c>
      <c r="CC158" s="84">
        <v>140</v>
      </c>
      <c r="CD158" s="84">
        <v>140</v>
      </c>
      <c r="CE158" s="84">
        <v>140</v>
      </c>
      <c r="CF158" s="84">
        <v>140</v>
      </c>
      <c r="CG158" s="84">
        <v>140</v>
      </c>
      <c r="CH158" s="84">
        <v>140</v>
      </c>
      <c r="CI158" s="84">
        <v>140</v>
      </c>
      <c r="CJ158" s="84">
        <v>140</v>
      </c>
    </row>
    <row r="159" s="76" customFormat="1">
      <c r="A159" s="77" t="s">
        <v>38</v>
      </c>
      <c r="B159" s="76" t="s">
        <v>150</v>
      </c>
      <c r="C159" s="76" t="s">
        <v>601</v>
      </c>
      <c r="D159" s="161" t="s">
        <v>564</v>
      </c>
      <c r="E159" s="177" t="s">
        <v>565</v>
      </c>
      <c r="F159" s="76" t="s">
        <v>181</v>
      </c>
      <c r="H159" s="76" t="s">
        <v>490</v>
      </c>
      <c r="I159" s="76" t="s">
        <v>167</v>
      </c>
      <c r="J159" s="76" t="s">
        <v>300</v>
      </c>
      <c r="K159" s="76" t="s">
        <v>301</v>
      </c>
      <c r="L159" s="76" t="s">
        <v>167</v>
      </c>
      <c r="M159" s="76" t="s">
        <v>177</v>
      </c>
      <c r="N159" s="76" t="s">
        <v>301</v>
      </c>
      <c r="O159" s="76" t="s">
        <v>408</v>
      </c>
      <c r="P159" s="76" t="s">
        <v>171</v>
      </c>
      <c r="Q159" s="76" t="s">
        <v>171</v>
      </c>
      <c r="R159" s="77" t="s">
        <v>482</v>
      </c>
      <c r="T159" s="99" t="s">
        <v>174</v>
      </c>
      <c r="W159" s="86">
        <v>99.5</v>
      </c>
      <c r="Y159" s="84">
        <f t="shared" si="64"/>
        <v>701.03999999999996</v>
      </c>
      <c r="Z159" s="84">
        <f t="shared" si="65"/>
        <v>806.15999999999997</v>
      </c>
      <c r="AA159" s="84"/>
      <c r="AB159" s="84"/>
      <c r="AC159" s="84">
        <f t="shared" si="66"/>
        <v>902.39999999999998</v>
      </c>
      <c r="AD159" s="84">
        <f t="shared" si="67"/>
        <v>690.24000000000001</v>
      </c>
      <c r="AE159" s="84"/>
      <c r="AF159" s="84"/>
      <c r="AG159" s="84">
        <f t="shared" si="68"/>
        <v>2546.4000000000001</v>
      </c>
      <c r="AH159" s="84">
        <f t="shared" si="69"/>
        <v>626.88</v>
      </c>
      <c r="AI159" s="84"/>
      <c r="AJ159" s="84"/>
      <c r="AK159" s="84">
        <f t="shared" si="70"/>
        <v>5553.6000000000004</v>
      </c>
      <c r="AL159" s="84">
        <f t="shared" si="71"/>
        <v>626.88</v>
      </c>
      <c r="BM159" s="84">
        <v>292.10000000000002</v>
      </c>
      <c r="BN159" s="84">
        <v>335.89999999999998</v>
      </c>
      <c r="BO159" s="84" t="s">
        <v>175</v>
      </c>
      <c r="BQ159" s="84">
        <v>376</v>
      </c>
      <c r="BR159" s="84">
        <v>287.60000000000002</v>
      </c>
      <c r="BS159" s="84" t="s">
        <v>175</v>
      </c>
      <c r="BU159" s="84">
        <v>1061</v>
      </c>
      <c r="BV159" s="84">
        <v>261.19999999999999</v>
      </c>
      <c r="BW159" s="84" t="s">
        <v>175</v>
      </c>
      <c r="BY159" s="84">
        <v>2314</v>
      </c>
      <c r="BZ159" s="84">
        <v>261.19999999999999</v>
      </c>
      <c r="CA159" s="84" t="s">
        <v>175</v>
      </c>
      <c r="CC159" s="84">
        <v>140</v>
      </c>
      <c r="CD159" s="84">
        <v>140</v>
      </c>
      <c r="CE159" s="84">
        <v>140</v>
      </c>
      <c r="CF159" s="84">
        <v>140</v>
      </c>
      <c r="CG159" s="84">
        <v>140</v>
      </c>
      <c r="CH159" s="84">
        <v>140</v>
      </c>
      <c r="CI159" s="84">
        <v>140</v>
      </c>
      <c r="CJ159" s="84">
        <v>140</v>
      </c>
    </row>
    <row r="160" s="76" customFormat="1">
      <c r="A160" s="77" t="s">
        <v>38</v>
      </c>
      <c r="B160" s="76" t="s">
        <v>150</v>
      </c>
      <c r="C160" s="76" t="s">
        <v>602</v>
      </c>
      <c r="D160" s="161" t="s">
        <v>564</v>
      </c>
      <c r="E160" s="177" t="s">
        <v>565</v>
      </c>
      <c r="F160" s="76" t="s">
        <v>181</v>
      </c>
      <c r="H160" s="76" t="s">
        <v>490</v>
      </c>
      <c r="I160" s="76" t="s">
        <v>167</v>
      </c>
      <c r="J160" s="76" t="s">
        <v>300</v>
      </c>
      <c r="K160" s="76" t="s">
        <v>442</v>
      </c>
      <c r="L160" s="76" t="s">
        <v>167</v>
      </c>
      <c r="M160" s="76" t="s">
        <v>177</v>
      </c>
      <c r="N160" s="76" t="s">
        <v>442</v>
      </c>
      <c r="O160" s="76" t="s">
        <v>408</v>
      </c>
      <c r="P160" s="76" t="s">
        <v>171</v>
      </c>
      <c r="Q160" s="76" t="s">
        <v>171</v>
      </c>
      <c r="R160" s="77" t="s">
        <v>482</v>
      </c>
      <c r="T160" s="99" t="s">
        <v>174</v>
      </c>
      <c r="W160" s="86">
        <v>99.5</v>
      </c>
      <c r="Y160" s="84">
        <f t="shared" si="64"/>
        <v>701.03999999999996</v>
      </c>
      <c r="Z160" s="84">
        <f t="shared" si="65"/>
        <v>806.15999999999997</v>
      </c>
      <c r="AA160" s="84"/>
      <c r="AB160" s="84"/>
      <c r="AC160" s="84">
        <f t="shared" si="66"/>
        <v>902.39999999999998</v>
      </c>
      <c r="AD160" s="84">
        <f t="shared" si="67"/>
        <v>690.24000000000001</v>
      </c>
      <c r="AE160" s="84"/>
      <c r="AF160" s="84"/>
      <c r="AG160" s="84">
        <f t="shared" si="68"/>
        <v>2546.4000000000001</v>
      </c>
      <c r="AH160" s="84">
        <f t="shared" si="69"/>
        <v>626.88</v>
      </c>
      <c r="AI160" s="84"/>
      <c r="AJ160" s="84"/>
      <c r="AK160" s="84">
        <f t="shared" si="70"/>
        <v>5553.6000000000004</v>
      </c>
      <c r="AL160" s="84">
        <f t="shared" si="71"/>
        <v>626.88</v>
      </c>
      <c r="BM160" s="84">
        <v>292.10000000000002</v>
      </c>
      <c r="BN160" s="84">
        <v>335.89999999999998</v>
      </c>
      <c r="BO160" s="84" t="s">
        <v>175</v>
      </c>
      <c r="BQ160" s="84">
        <v>376</v>
      </c>
      <c r="BR160" s="84">
        <v>287.60000000000002</v>
      </c>
      <c r="BS160" s="84" t="s">
        <v>175</v>
      </c>
      <c r="BU160" s="84">
        <v>1061</v>
      </c>
      <c r="BV160" s="84">
        <v>261.19999999999999</v>
      </c>
      <c r="BW160" s="84" t="s">
        <v>175</v>
      </c>
      <c r="BY160" s="84">
        <v>2314</v>
      </c>
      <c r="BZ160" s="84">
        <v>261.19999999999999</v>
      </c>
      <c r="CA160" s="84" t="s">
        <v>175</v>
      </c>
      <c r="CC160" s="84">
        <v>140</v>
      </c>
      <c r="CD160" s="84">
        <v>140</v>
      </c>
      <c r="CE160" s="84">
        <v>140</v>
      </c>
      <c r="CF160" s="84">
        <v>140</v>
      </c>
      <c r="CG160" s="84">
        <v>140</v>
      </c>
      <c r="CH160" s="84">
        <v>140</v>
      </c>
      <c r="CI160" s="84">
        <v>140</v>
      </c>
      <c r="CJ160" s="84">
        <v>140</v>
      </c>
    </row>
    <row r="161">
      <c r="A161" s="57" t="s">
        <v>38</v>
      </c>
      <c r="B161" s="51" t="s">
        <v>150</v>
      </c>
      <c r="C161" s="51" t="s">
        <v>603</v>
      </c>
      <c r="D161" s="161" t="s">
        <v>564</v>
      </c>
      <c r="E161" s="177" t="s">
        <v>565</v>
      </c>
      <c r="F161" s="51" t="s">
        <v>181</v>
      </c>
      <c r="H161" s="51" t="s">
        <v>493</v>
      </c>
      <c r="I161" s="51" t="s">
        <v>167</v>
      </c>
      <c r="J161" s="51" t="s">
        <v>300</v>
      </c>
      <c r="K161" s="51" t="s">
        <v>301</v>
      </c>
      <c r="L161" s="51" t="s">
        <v>167</v>
      </c>
      <c r="M161" s="51" t="s">
        <v>300</v>
      </c>
      <c r="N161" s="51" t="s">
        <v>301</v>
      </c>
      <c r="O161" s="51" t="s">
        <v>408</v>
      </c>
      <c r="P161" s="51" t="s">
        <v>171</v>
      </c>
      <c r="Q161" s="51" t="s">
        <v>171</v>
      </c>
      <c r="R161" s="57" t="s">
        <v>482</v>
      </c>
      <c r="T161" s="106" t="s">
        <v>174</v>
      </c>
      <c r="W161" s="64">
        <v>90.700000000000003</v>
      </c>
      <c r="Y161" s="62">
        <f t="shared" si="64"/>
        <v>715.20000000000005</v>
      </c>
      <c r="Z161" s="62">
        <f t="shared" si="65"/>
        <v>810.24000000000001</v>
      </c>
      <c r="AA161" s="62"/>
      <c r="AB161" s="62"/>
      <c r="AC161" s="62">
        <f t="shared" si="66"/>
        <v>979.92000000000007</v>
      </c>
      <c r="AD161" s="62">
        <f t="shared" si="67"/>
        <v>685.44000000000005</v>
      </c>
      <c r="AE161" s="62"/>
      <c r="AF161" s="62"/>
      <c r="AG161" s="62">
        <f t="shared" si="68"/>
        <v>1669.6800000000001</v>
      </c>
      <c r="AH161" s="62">
        <f t="shared" si="69"/>
        <v>571.20000000000005</v>
      </c>
      <c r="AI161" s="62"/>
      <c r="AJ161" s="62"/>
      <c r="AK161" s="62">
        <f t="shared" si="70"/>
        <v>5072.1599999999999</v>
      </c>
      <c r="AL161" s="62">
        <f t="shared" si="71"/>
        <v>571.20000000000005</v>
      </c>
      <c r="BM161" s="62">
        <v>298</v>
      </c>
      <c r="BN161" s="62">
        <v>337.60000000000002</v>
      </c>
      <c r="BO161" s="62" t="s">
        <v>175</v>
      </c>
      <c r="BQ161" s="62">
        <v>408.30000000000001</v>
      </c>
      <c r="BR161" s="62">
        <v>285.60000000000002</v>
      </c>
      <c r="BS161" s="62" t="s">
        <v>175</v>
      </c>
      <c r="BU161" s="62">
        <v>695.70000000000005</v>
      </c>
      <c r="BV161" s="62">
        <v>238</v>
      </c>
      <c r="BW161" s="62" t="s">
        <v>175</v>
      </c>
      <c r="BY161" s="62">
        <v>2113.4000000000001</v>
      </c>
      <c r="BZ161" s="62">
        <v>238</v>
      </c>
      <c r="CA161" s="62" t="s">
        <v>175</v>
      </c>
      <c r="CC161" s="62">
        <v>140</v>
      </c>
      <c r="CD161" s="62">
        <v>140</v>
      </c>
      <c r="CE161" s="62">
        <v>140</v>
      </c>
      <c r="CF161" s="62">
        <v>140</v>
      </c>
      <c r="CG161" s="62">
        <v>140</v>
      </c>
      <c r="CH161" s="62">
        <v>140</v>
      </c>
      <c r="CI161" s="62">
        <v>140</v>
      </c>
      <c r="CJ161" s="62">
        <v>140</v>
      </c>
    </row>
    <row r="162">
      <c r="A162" s="57" t="s">
        <v>38</v>
      </c>
      <c r="B162" s="51" t="s">
        <v>150</v>
      </c>
      <c r="C162" s="51" t="s">
        <v>604</v>
      </c>
      <c r="D162" s="161" t="s">
        <v>564</v>
      </c>
      <c r="E162" s="177" t="s">
        <v>565</v>
      </c>
      <c r="F162" s="51" t="s">
        <v>181</v>
      </c>
      <c r="H162" s="51" t="s">
        <v>493</v>
      </c>
      <c r="I162" s="51" t="s">
        <v>167</v>
      </c>
      <c r="J162" s="51" t="s">
        <v>300</v>
      </c>
      <c r="K162" s="51" t="s">
        <v>442</v>
      </c>
      <c r="L162" s="51" t="s">
        <v>167</v>
      </c>
      <c r="M162" s="51" t="s">
        <v>300</v>
      </c>
      <c r="N162" s="51" t="s">
        <v>442</v>
      </c>
      <c r="O162" s="51" t="s">
        <v>408</v>
      </c>
      <c r="P162" s="51" t="s">
        <v>171</v>
      </c>
      <c r="Q162" s="51" t="s">
        <v>171</v>
      </c>
      <c r="R162" s="57" t="s">
        <v>482</v>
      </c>
      <c r="T162" s="106" t="s">
        <v>174</v>
      </c>
      <c r="W162" s="64">
        <v>90.700000000000003</v>
      </c>
      <c r="Y162" s="62">
        <f t="shared" si="64"/>
        <v>715.20000000000005</v>
      </c>
      <c r="Z162" s="62">
        <f t="shared" si="65"/>
        <v>810.24000000000001</v>
      </c>
      <c r="AA162" s="62"/>
      <c r="AB162" s="62"/>
      <c r="AC162" s="62">
        <f t="shared" si="66"/>
        <v>979.92000000000007</v>
      </c>
      <c r="AD162" s="62">
        <f t="shared" si="67"/>
        <v>685.44000000000005</v>
      </c>
      <c r="AE162" s="62"/>
      <c r="AF162" s="62"/>
      <c r="AG162" s="62">
        <f t="shared" si="68"/>
        <v>1669.6800000000001</v>
      </c>
      <c r="AH162" s="62">
        <f t="shared" si="69"/>
        <v>571.20000000000005</v>
      </c>
      <c r="AI162" s="62"/>
      <c r="AJ162" s="62"/>
      <c r="AK162" s="62">
        <f t="shared" si="70"/>
        <v>5072.1599999999999</v>
      </c>
      <c r="AL162" s="62">
        <f t="shared" si="71"/>
        <v>571.20000000000005</v>
      </c>
      <c r="BM162" s="62">
        <v>298</v>
      </c>
      <c r="BN162" s="62">
        <v>337.60000000000002</v>
      </c>
      <c r="BO162" s="62" t="s">
        <v>175</v>
      </c>
      <c r="BQ162" s="62">
        <v>408.30000000000001</v>
      </c>
      <c r="BR162" s="62">
        <v>285.60000000000002</v>
      </c>
      <c r="BS162" s="62" t="s">
        <v>175</v>
      </c>
      <c r="BU162" s="62">
        <v>695.70000000000005</v>
      </c>
      <c r="BV162" s="62">
        <v>238</v>
      </c>
      <c r="BW162" s="62" t="s">
        <v>175</v>
      </c>
      <c r="BY162" s="62">
        <v>2113.4000000000001</v>
      </c>
      <c r="BZ162" s="62">
        <v>238</v>
      </c>
      <c r="CA162" s="62" t="s">
        <v>175</v>
      </c>
      <c r="CC162" s="62">
        <v>140</v>
      </c>
      <c r="CD162" s="62">
        <v>140</v>
      </c>
      <c r="CE162" s="62">
        <v>140</v>
      </c>
      <c r="CF162" s="62">
        <v>140</v>
      </c>
      <c r="CG162" s="62">
        <v>140</v>
      </c>
      <c r="CH162" s="62">
        <v>140</v>
      </c>
      <c r="CI162" s="62">
        <v>140</v>
      </c>
      <c r="CJ162" s="62">
        <v>140</v>
      </c>
    </row>
    <row r="163">
      <c r="A163" s="57" t="s">
        <v>38</v>
      </c>
      <c r="B163" s="51" t="s">
        <v>150</v>
      </c>
      <c r="C163" s="51" t="s">
        <v>605</v>
      </c>
      <c r="D163" s="161" t="s">
        <v>564</v>
      </c>
      <c r="E163" s="177" t="s">
        <v>565</v>
      </c>
      <c r="F163" s="51" t="s">
        <v>181</v>
      </c>
      <c r="H163" s="51" t="s">
        <v>493</v>
      </c>
      <c r="I163" s="51" t="s">
        <v>167</v>
      </c>
      <c r="J163" s="51" t="s">
        <v>300</v>
      </c>
      <c r="K163" s="51" t="s">
        <v>301</v>
      </c>
      <c r="L163" s="51" t="s">
        <v>167</v>
      </c>
      <c r="M163" s="51" t="s">
        <v>168</v>
      </c>
      <c r="N163" s="51" t="s">
        <v>301</v>
      </c>
      <c r="O163" s="51" t="s">
        <v>408</v>
      </c>
      <c r="P163" s="51" t="s">
        <v>171</v>
      </c>
      <c r="Q163" s="51" t="s">
        <v>171</v>
      </c>
      <c r="R163" s="57" t="s">
        <v>482</v>
      </c>
      <c r="T163" s="106" t="s">
        <v>174</v>
      </c>
      <c r="W163" s="64">
        <v>100.8</v>
      </c>
      <c r="Y163" s="62">
        <f t="shared" si="64"/>
        <v>753.60000000000002</v>
      </c>
      <c r="Z163" s="62">
        <f t="shared" si="65"/>
        <v>893.04000000000008</v>
      </c>
      <c r="AA163" s="62"/>
      <c r="AB163" s="62"/>
      <c r="AC163" s="62">
        <f t="shared" si="66"/>
        <v>1015.2</v>
      </c>
      <c r="AD163" s="62">
        <f t="shared" si="67"/>
        <v>762</v>
      </c>
      <c r="AE163" s="62"/>
      <c r="AF163" s="62"/>
      <c r="AG163" s="62">
        <f t="shared" si="68"/>
        <v>3302.6399999999999</v>
      </c>
      <c r="AH163" s="62">
        <f t="shared" si="69"/>
        <v>634.79999999999995</v>
      </c>
      <c r="AI163" s="62"/>
      <c r="AJ163" s="62"/>
      <c r="AK163" s="62">
        <f t="shared" si="70"/>
        <v>5625.1200000000008</v>
      </c>
      <c r="AL163" s="62">
        <f t="shared" si="71"/>
        <v>634.79999999999995</v>
      </c>
      <c r="BM163" s="62">
        <v>314</v>
      </c>
      <c r="BN163" s="62">
        <v>372.10000000000002</v>
      </c>
      <c r="BO163" s="62" t="s">
        <v>175</v>
      </c>
      <c r="BQ163" s="62">
        <v>423</v>
      </c>
      <c r="BR163" s="62">
        <v>317.5</v>
      </c>
      <c r="BS163" s="62" t="s">
        <v>175</v>
      </c>
      <c r="BU163" s="62">
        <v>1376.0999999999999</v>
      </c>
      <c r="BV163" s="62">
        <v>264.5</v>
      </c>
      <c r="BW163" s="62" t="s">
        <v>175</v>
      </c>
      <c r="BY163" s="62">
        <v>2343.8000000000002</v>
      </c>
      <c r="BZ163" s="62">
        <v>264.5</v>
      </c>
      <c r="CA163" s="62" t="s">
        <v>175</v>
      </c>
      <c r="CC163" s="62">
        <v>140</v>
      </c>
      <c r="CD163" s="62">
        <v>140</v>
      </c>
      <c r="CE163" s="62">
        <v>140</v>
      </c>
      <c r="CF163" s="62">
        <v>140</v>
      </c>
      <c r="CG163" s="62">
        <v>140</v>
      </c>
      <c r="CH163" s="62">
        <v>140</v>
      </c>
      <c r="CI163" s="62">
        <v>140</v>
      </c>
      <c r="CJ163" s="62">
        <v>140</v>
      </c>
    </row>
    <row r="164">
      <c r="A164" s="57" t="s">
        <v>38</v>
      </c>
      <c r="B164" s="51" t="s">
        <v>150</v>
      </c>
      <c r="C164" s="51" t="s">
        <v>606</v>
      </c>
      <c r="D164" s="161" t="s">
        <v>564</v>
      </c>
      <c r="E164" s="177" t="s">
        <v>565</v>
      </c>
      <c r="F164" s="51" t="s">
        <v>181</v>
      </c>
      <c r="H164" s="51" t="s">
        <v>493</v>
      </c>
      <c r="I164" s="51" t="s">
        <v>167</v>
      </c>
      <c r="J164" s="51" t="s">
        <v>300</v>
      </c>
      <c r="K164" s="51" t="s">
        <v>442</v>
      </c>
      <c r="L164" s="51" t="s">
        <v>167</v>
      </c>
      <c r="M164" s="51" t="s">
        <v>168</v>
      </c>
      <c r="N164" s="51" t="s">
        <v>442</v>
      </c>
      <c r="O164" s="51" t="s">
        <v>408</v>
      </c>
      <c r="P164" s="51" t="s">
        <v>171</v>
      </c>
      <c r="Q164" s="51" t="s">
        <v>171</v>
      </c>
      <c r="R164" s="57" t="s">
        <v>482</v>
      </c>
      <c r="T164" s="106" t="s">
        <v>174</v>
      </c>
      <c r="W164" s="64">
        <v>100.8</v>
      </c>
      <c r="Y164" s="62">
        <f t="shared" si="64"/>
        <v>753.60000000000002</v>
      </c>
      <c r="Z164" s="62">
        <f t="shared" si="65"/>
        <v>893.04000000000008</v>
      </c>
      <c r="AA164" s="62"/>
      <c r="AB164" s="62"/>
      <c r="AC164" s="62">
        <f t="shared" si="66"/>
        <v>1015.2</v>
      </c>
      <c r="AD164" s="62">
        <f t="shared" si="67"/>
        <v>762</v>
      </c>
      <c r="AE164" s="62"/>
      <c r="AF164" s="62"/>
      <c r="AG164" s="62">
        <f t="shared" si="68"/>
        <v>3302.6399999999999</v>
      </c>
      <c r="AH164" s="62">
        <f t="shared" si="69"/>
        <v>634.79999999999995</v>
      </c>
      <c r="AI164" s="62"/>
      <c r="AJ164" s="62"/>
      <c r="AK164" s="62">
        <f t="shared" si="70"/>
        <v>5625.1200000000008</v>
      </c>
      <c r="AL164" s="62">
        <f t="shared" si="71"/>
        <v>634.79999999999995</v>
      </c>
      <c r="BM164" s="62">
        <v>314</v>
      </c>
      <c r="BN164" s="62">
        <v>372.10000000000002</v>
      </c>
      <c r="BO164" s="62" t="s">
        <v>175</v>
      </c>
      <c r="BQ164" s="62">
        <v>423</v>
      </c>
      <c r="BR164" s="62">
        <v>317.5</v>
      </c>
      <c r="BS164" s="62" t="s">
        <v>175</v>
      </c>
      <c r="BU164" s="62">
        <v>1376.0999999999999</v>
      </c>
      <c r="BV164" s="62">
        <v>264.5</v>
      </c>
      <c r="BW164" s="62" t="s">
        <v>175</v>
      </c>
      <c r="BY164" s="62">
        <v>2343.8000000000002</v>
      </c>
      <c r="BZ164" s="62">
        <v>264.5</v>
      </c>
      <c r="CA164" s="62" t="s">
        <v>175</v>
      </c>
      <c r="CC164" s="62">
        <v>140</v>
      </c>
      <c r="CD164" s="62">
        <v>140</v>
      </c>
      <c r="CE164" s="62">
        <v>140</v>
      </c>
      <c r="CF164" s="62">
        <v>140</v>
      </c>
      <c r="CG164" s="62">
        <v>140</v>
      </c>
      <c r="CH164" s="62">
        <v>140</v>
      </c>
      <c r="CI164" s="62">
        <v>140</v>
      </c>
      <c r="CJ164" s="62">
        <v>140</v>
      </c>
    </row>
    <row r="165">
      <c r="A165" s="57" t="s">
        <v>38</v>
      </c>
      <c r="B165" s="51" t="s">
        <v>150</v>
      </c>
      <c r="C165" s="51" t="s">
        <v>607</v>
      </c>
      <c r="D165" s="161" t="s">
        <v>564</v>
      </c>
      <c r="E165" s="177" t="s">
        <v>565</v>
      </c>
      <c r="F165" s="51" t="s">
        <v>181</v>
      </c>
      <c r="H165" s="51" t="s">
        <v>493</v>
      </c>
      <c r="I165" s="51" t="s">
        <v>167</v>
      </c>
      <c r="J165" s="51" t="s">
        <v>300</v>
      </c>
      <c r="K165" s="51" t="s">
        <v>301</v>
      </c>
      <c r="L165" s="51" t="s">
        <v>167</v>
      </c>
      <c r="M165" s="51" t="s">
        <v>177</v>
      </c>
      <c r="N165" s="51" t="s">
        <v>301</v>
      </c>
      <c r="O165" s="51" t="s">
        <v>408</v>
      </c>
      <c r="P165" s="51" t="s">
        <v>171</v>
      </c>
      <c r="Q165" s="51" t="s">
        <v>171</v>
      </c>
      <c r="R165" s="57" t="s">
        <v>482</v>
      </c>
      <c r="T165" s="106" t="s">
        <v>174</v>
      </c>
      <c r="W165" s="64">
        <v>110.90000000000001</v>
      </c>
      <c r="Y165" s="62">
        <f t="shared" si="64"/>
        <v>785.27999999999997</v>
      </c>
      <c r="Z165" s="62">
        <f t="shared" si="65"/>
        <v>903.12000000000012</v>
      </c>
      <c r="AA165" s="62"/>
      <c r="AB165" s="62"/>
      <c r="AC165" s="62">
        <f t="shared" si="66"/>
        <v>1027.2</v>
      </c>
      <c r="AD165" s="62">
        <f t="shared" si="67"/>
        <v>770.6400000000001</v>
      </c>
      <c r="AE165" s="62"/>
      <c r="AF165" s="62"/>
      <c r="AG165" s="62">
        <f t="shared" si="68"/>
        <v>2866.8000000000002</v>
      </c>
      <c r="AH165" s="62">
        <f t="shared" si="69"/>
        <v>698.15999999999997</v>
      </c>
      <c r="AI165" s="62"/>
      <c r="AJ165" s="62"/>
      <c r="AK165" s="62">
        <f t="shared" si="70"/>
        <v>6197.2799999999997</v>
      </c>
      <c r="AL165" s="62">
        <f t="shared" si="71"/>
        <v>698.15999999999997</v>
      </c>
      <c r="BM165" s="62">
        <v>327.19999999999999</v>
      </c>
      <c r="BN165" s="62">
        <v>376.30000000000001</v>
      </c>
      <c r="BO165" s="62" t="s">
        <v>175</v>
      </c>
      <c r="BQ165" s="62">
        <v>428</v>
      </c>
      <c r="BR165" s="62">
        <v>321.10000000000002</v>
      </c>
      <c r="BS165" s="62" t="s">
        <v>175</v>
      </c>
      <c r="BU165" s="62">
        <v>1194.5</v>
      </c>
      <c r="BV165" s="62">
        <v>290.89999999999998</v>
      </c>
      <c r="BW165" s="62" t="s">
        <v>175</v>
      </c>
      <c r="BY165" s="62">
        <v>2582.1999999999998</v>
      </c>
      <c r="BZ165" s="62">
        <v>290.89999999999998</v>
      </c>
      <c r="CA165" s="62" t="s">
        <v>175</v>
      </c>
      <c r="CC165" s="62">
        <v>140</v>
      </c>
      <c r="CD165" s="62">
        <v>140</v>
      </c>
      <c r="CE165" s="62">
        <v>140</v>
      </c>
      <c r="CF165" s="62">
        <v>140</v>
      </c>
      <c r="CG165" s="62">
        <v>140</v>
      </c>
      <c r="CH165" s="62">
        <v>140</v>
      </c>
      <c r="CI165" s="62">
        <v>140</v>
      </c>
      <c r="CJ165" s="62">
        <v>140</v>
      </c>
    </row>
    <row r="166">
      <c r="A166" s="57" t="s">
        <v>38</v>
      </c>
      <c r="B166" s="51" t="s">
        <v>150</v>
      </c>
      <c r="C166" s="51" t="s">
        <v>608</v>
      </c>
      <c r="D166" s="161" t="s">
        <v>564</v>
      </c>
      <c r="E166" s="177" t="s">
        <v>565</v>
      </c>
      <c r="F166" s="51" t="s">
        <v>181</v>
      </c>
      <c r="H166" s="51" t="s">
        <v>493</v>
      </c>
      <c r="I166" s="51" t="s">
        <v>167</v>
      </c>
      <c r="J166" s="51" t="s">
        <v>300</v>
      </c>
      <c r="K166" s="51" t="s">
        <v>442</v>
      </c>
      <c r="L166" s="51" t="s">
        <v>167</v>
      </c>
      <c r="M166" s="51" t="s">
        <v>177</v>
      </c>
      <c r="N166" s="51" t="s">
        <v>442</v>
      </c>
      <c r="O166" s="51" t="s">
        <v>408</v>
      </c>
      <c r="P166" s="51" t="s">
        <v>171</v>
      </c>
      <c r="Q166" s="51" t="s">
        <v>171</v>
      </c>
      <c r="R166" s="57" t="s">
        <v>482</v>
      </c>
      <c r="T166" s="106" t="s">
        <v>174</v>
      </c>
      <c r="W166" s="64">
        <v>110.90000000000001</v>
      </c>
      <c r="Y166" s="62">
        <f t="shared" ref="Y166" si="72">AO166+(AO166*BE166/100)+BM166+(BM166*CC166/100)</f>
        <v>785.27999999999997</v>
      </c>
      <c r="Z166" s="62">
        <f t="shared" ref="Z166" si="73">AP166+(AP166*BF166/100)+BN166+(BN166*CD166/100)</f>
        <v>903.12000000000012</v>
      </c>
      <c r="AA166" s="62"/>
      <c r="AB166" s="62"/>
      <c r="AC166" s="62">
        <f t="shared" ref="AC166" si="74">AS166+(AS166*BG166/100)+BQ166+(BQ166*CE166/100)</f>
        <v>1027.2</v>
      </c>
      <c r="AD166" s="62">
        <f t="shared" ref="AD166" si="75">AT166+(AT166*BH166/100)+BR166+(BR166*CF166/100)</f>
        <v>770.6400000000001</v>
      </c>
      <c r="AE166" s="62"/>
      <c r="AF166" s="62"/>
      <c r="AG166" s="62">
        <f t="shared" ref="AG166" si="76">AW166+(AW166*BI166/100)+BU166+(BU166*CG166/100)</f>
        <v>2866.8000000000002</v>
      </c>
      <c r="AH166" s="62">
        <f t="shared" ref="AH166" si="77">AX166+(AX166*BJ166/100)+BV166+(BV166*CH166/100)</f>
        <v>698.15999999999997</v>
      </c>
      <c r="AI166" s="62"/>
      <c r="AJ166" s="62"/>
      <c r="AK166" s="62">
        <f t="shared" ref="AK166" si="78">BA166+(BA166*BK166/100)+BY166+(BY166*CI166/100)</f>
        <v>6197.2799999999997</v>
      </c>
      <c r="AL166" s="62">
        <f t="shared" ref="AL166" si="79">BB166+(BB166*BL166/100)+BZ166+(BZ166*CJ166/100)</f>
        <v>698.15999999999997</v>
      </c>
      <c r="BM166" s="62">
        <v>327.19999999999999</v>
      </c>
      <c r="BN166" s="62">
        <v>376.30000000000001</v>
      </c>
      <c r="BO166" s="62" t="s">
        <v>175</v>
      </c>
      <c r="BQ166" s="62">
        <v>428</v>
      </c>
      <c r="BR166" s="62">
        <v>321.10000000000002</v>
      </c>
      <c r="BS166" s="62" t="s">
        <v>175</v>
      </c>
      <c r="BU166" s="62">
        <v>1194.5</v>
      </c>
      <c r="BV166" s="62">
        <v>290.89999999999998</v>
      </c>
      <c r="BW166" s="62" t="s">
        <v>175</v>
      </c>
      <c r="BY166" s="62">
        <v>2582.1999999999998</v>
      </c>
      <c r="BZ166" s="62">
        <v>290.89999999999998</v>
      </c>
      <c r="CA166" s="62" t="s">
        <v>175</v>
      </c>
      <c r="CC166" s="62">
        <v>140</v>
      </c>
      <c r="CD166" s="62">
        <v>140</v>
      </c>
      <c r="CE166" s="62">
        <v>140</v>
      </c>
      <c r="CF166" s="62">
        <v>140</v>
      </c>
      <c r="CG166" s="62">
        <v>140</v>
      </c>
      <c r="CH166" s="62">
        <v>140</v>
      </c>
      <c r="CI166" s="62">
        <v>140</v>
      </c>
      <c r="CJ166" s="62">
        <v>140</v>
      </c>
    </row>
    <row r="167">
      <c r="W167" s="64"/>
    </row>
    <row r="168">
      <c r="W168" s="64"/>
    </row>
    <row r="169">
      <c r="W169" s="64"/>
    </row>
    <row r="170">
      <c r="W170" s="64"/>
    </row>
    <row r="171">
      <c r="W171" s="64"/>
    </row>
    <row r="172">
      <c r="W172" s="64"/>
    </row>
    <row r="173">
      <c r="W173" s="64"/>
    </row>
    <row r="174">
      <c r="W174" s="64"/>
    </row>
    <row r="175">
      <c r="W175" s="64"/>
    </row>
    <row r="176">
      <c r="W176" s="64"/>
    </row>
    <row r="177">
      <c r="W177" s="64"/>
    </row>
    <row r="178">
      <c r="W178" s="64"/>
    </row>
    <row r="179">
      <c r="W179" s="64"/>
    </row>
    <row r="180">
      <c r="W180" s="64"/>
    </row>
    <row r="181">
      <c r="W181" s="64"/>
    </row>
    <row r="182">
      <c r="W182" s="64"/>
    </row>
    <row r="183">
      <c r="W183" s="64"/>
    </row>
    <row r="184">
      <c r="W184" s="64"/>
    </row>
    <row r="185">
      <c r="W185" s="64"/>
    </row>
    <row r="186">
      <c r="W186" s="64"/>
    </row>
    <row r="187">
      <c r="W187" s="64"/>
    </row>
    <row r="188">
      <c r="W188" s="64"/>
    </row>
    <row r="189">
      <c r="W189" s="64"/>
    </row>
    <row r="190">
      <c r="W190" s="64"/>
    </row>
    <row r="191">
      <c r="W191" s="64"/>
    </row>
    <row r="192">
      <c r="W192" s="64"/>
    </row>
    <row r="193">
      <c r="W193" s="64"/>
    </row>
    <row r="194">
      <c r="W194" s="64"/>
    </row>
    <row r="195">
      <c r="W195" s="64"/>
    </row>
    <row r="196">
      <c r="W196" s="64"/>
    </row>
    <row r="197">
      <c r="W197" s="64"/>
    </row>
    <row r="198">
      <c r="W198" s="64"/>
    </row>
    <row r="199">
      <c r="W199" s="64"/>
    </row>
    <row r="200">
      <c r="W200" s="64"/>
    </row>
  </sheetData>
  <mergeCells count="9">
    <mergeCell ref="H1:S1"/>
    <mergeCell ref="W1:X1"/>
    <mergeCell ref="Y1:AN1"/>
    <mergeCell ref="AO1:BD1"/>
    <mergeCell ref="BE1:BL1"/>
    <mergeCell ref="BM1:CB1"/>
    <mergeCell ref="CC1:CJ1"/>
    <mergeCell ref="I2:K2"/>
    <mergeCell ref="L2:N2"/>
  </mergeCells>
  <printOptions headings="0" gridLines="0"/>
  <pageMargins left="0.69999999999999996" right="0.69999999999999996" top="0.78740157500000008" bottom="0.78740157500000008" header="0.29999999999999999" footer="0.29999999999999999"/>
  <pageSetup paperSize="9" scale="13" fitToWidth="1" fitToHeight="1" pageOrder="downThenOver" orientation="landscape"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N3" activeCellId="0" sqref="N3:O3"/>
    </sheetView>
  </sheetViews>
  <sheetFormatPr baseColWidth="10" defaultRowHeight="14.4"/>
  <cols>
    <col customWidth="1" min="2" max="2" width="10"/>
    <col customWidth="1" min="3" max="3" width="11"/>
    <col customWidth="1" min="6" max="6" width="6.44140625"/>
    <col customWidth="1" min="8" max="8" width="10"/>
    <col customWidth="1" min="9" max="9" width="11"/>
    <col customWidth="1" min="12" max="12" width="7.6640625"/>
    <col customWidth="1" min="14" max="14" width="10"/>
    <col customWidth="1" min="15" max="15" width="11"/>
  </cols>
  <sheetData>
    <row r="2">
      <c r="A2" s="181" t="s">
        <v>609</v>
      </c>
      <c r="B2" s="182">
        <v>40</v>
      </c>
      <c r="C2" s="182">
        <v>17</v>
      </c>
      <c r="D2" s="181"/>
      <c r="G2" s="181" t="s">
        <v>609</v>
      </c>
      <c r="H2" s="182">
        <v>40</v>
      </c>
      <c r="I2" s="182">
        <v>17</v>
      </c>
      <c r="J2" s="181"/>
      <c r="M2" s="181" t="s">
        <v>609</v>
      </c>
      <c r="N2" s="182">
        <v>40</v>
      </c>
      <c r="O2" s="182">
        <v>24</v>
      </c>
      <c r="P2" s="181"/>
    </row>
    <row r="3">
      <c r="A3" s="181"/>
      <c r="B3" s="183" t="s">
        <v>610</v>
      </c>
      <c r="C3" s="183"/>
      <c r="D3" s="183" t="s">
        <v>611</v>
      </c>
      <c r="E3" s="183"/>
      <c r="G3" s="181"/>
      <c r="H3" s="183" t="s">
        <v>612</v>
      </c>
      <c r="I3" s="183"/>
      <c r="J3" s="183" t="s">
        <v>611</v>
      </c>
      <c r="K3" s="183"/>
      <c r="M3" s="181"/>
      <c r="N3" s="183" t="s">
        <v>613</v>
      </c>
      <c r="O3" s="183"/>
      <c r="P3" s="183" t="s">
        <v>611</v>
      </c>
      <c r="Q3" s="183"/>
    </row>
    <row r="4">
      <c r="A4" s="184" t="s">
        <v>614</v>
      </c>
      <c r="B4" s="184" t="s">
        <v>615</v>
      </c>
      <c r="C4" s="184" t="s">
        <v>616</v>
      </c>
      <c r="D4" s="184" t="s">
        <v>617</v>
      </c>
      <c r="E4" s="184" t="s">
        <v>616</v>
      </c>
      <c r="F4" s="181"/>
      <c r="G4" s="184" t="s">
        <v>614</v>
      </c>
      <c r="H4" s="184" t="s">
        <v>615</v>
      </c>
      <c r="I4" s="184" t="s">
        <v>616</v>
      </c>
      <c r="J4" s="184" t="s">
        <v>617</v>
      </c>
      <c r="K4" s="184" t="s">
        <v>616</v>
      </c>
      <c r="L4" s="181"/>
      <c r="M4" s="184" t="s">
        <v>614</v>
      </c>
      <c r="N4" s="184" t="s">
        <v>615</v>
      </c>
      <c r="O4" s="184" t="s">
        <v>616</v>
      </c>
      <c r="P4" s="184" t="s">
        <v>617</v>
      </c>
      <c r="Q4" s="184" t="s">
        <v>616</v>
      </c>
    </row>
    <row r="5">
      <c r="A5" s="185">
        <v>1000</v>
      </c>
      <c r="B5" s="186">
        <f t="shared" ref="B5:B14" si="80">$B$2</f>
        <v>40</v>
      </c>
      <c r="C5" s="186">
        <f t="shared" ref="C5:C14" si="81">$C$2</f>
        <v>17</v>
      </c>
      <c r="D5" s="186">
        <f t="shared" ref="D5:D14" si="82">B5+(A5/1000*C5)</f>
        <v>57</v>
      </c>
      <c r="E5" s="186">
        <f t="shared" ref="E5:E14" si="83">D5/(A5/1000)</f>
        <v>57</v>
      </c>
      <c r="G5" s="185">
        <v>11000</v>
      </c>
      <c r="H5" s="186">
        <f t="shared" ref="H5:H44" si="84">$H$2</f>
        <v>40</v>
      </c>
      <c r="I5" s="186">
        <f t="shared" ref="I5:I44" si="85">$I$2</f>
        <v>17</v>
      </c>
      <c r="J5" s="186">
        <f t="shared" ref="J5:J44" si="86">H5+(G5/1000*I5)</f>
        <v>227</v>
      </c>
      <c r="K5" s="186">
        <f t="shared" ref="K5:K44" si="87">J5/(G5/1000)</f>
        <v>20.636363636363637</v>
      </c>
      <c r="M5" s="185">
        <v>51000</v>
      </c>
      <c r="N5" s="186">
        <f t="shared" ref="N5:N54" si="88">$N$2</f>
        <v>40</v>
      </c>
      <c r="O5" s="186">
        <f t="shared" ref="O5:O54" si="89">$O$2</f>
        <v>24</v>
      </c>
      <c r="P5" s="186">
        <f t="shared" ref="P5:P54" si="90">N5+(M5/1000*O5)</f>
        <v>1264</v>
      </c>
      <c r="Q5" s="186">
        <f t="shared" ref="Q5:Q54" si="91">P5/(M5/1000)</f>
        <v>24.784313725490197</v>
      </c>
    </row>
    <row r="6">
      <c r="A6" s="185">
        <v>2000</v>
      </c>
      <c r="B6" s="186">
        <f t="shared" si="80"/>
        <v>40</v>
      </c>
      <c r="C6" s="186">
        <f t="shared" si="81"/>
        <v>17</v>
      </c>
      <c r="D6" s="186">
        <f t="shared" si="82"/>
        <v>74</v>
      </c>
      <c r="E6" s="186">
        <f t="shared" si="83"/>
        <v>37</v>
      </c>
      <c r="G6" s="185">
        <v>12000</v>
      </c>
      <c r="H6" s="186">
        <f t="shared" si="84"/>
        <v>40</v>
      </c>
      <c r="I6" s="186">
        <f t="shared" si="85"/>
        <v>17</v>
      </c>
      <c r="J6" s="186">
        <f t="shared" si="86"/>
        <v>244</v>
      </c>
      <c r="K6" s="186">
        <f t="shared" si="87"/>
        <v>20.333333333333332</v>
      </c>
      <c r="M6" s="185">
        <v>52000</v>
      </c>
      <c r="N6" s="186">
        <f t="shared" si="88"/>
        <v>40</v>
      </c>
      <c r="O6" s="186">
        <f t="shared" si="89"/>
        <v>24</v>
      </c>
      <c r="P6" s="186">
        <f t="shared" si="90"/>
        <v>1288</v>
      </c>
      <c r="Q6" s="186">
        <f t="shared" si="91"/>
        <v>24.76923076923077</v>
      </c>
    </row>
    <row r="7">
      <c r="A7" s="185">
        <v>3000</v>
      </c>
      <c r="B7" s="186">
        <f t="shared" si="80"/>
        <v>40</v>
      </c>
      <c r="C7" s="186">
        <f t="shared" si="81"/>
        <v>17</v>
      </c>
      <c r="D7" s="186">
        <f t="shared" si="82"/>
        <v>91</v>
      </c>
      <c r="E7" s="186">
        <f t="shared" si="83"/>
        <v>30.333333333333332</v>
      </c>
      <c r="G7" s="185">
        <v>13000</v>
      </c>
      <c r="H7" s="186">
        <f t="shared" si="84"/>
        <v>40</v>
      </c>
      <c r="I7" s="186">
        <f t="shared" si="85"/>
        <v>17</v>
      </c>
      <c r="J7" s="186">
        <f t="shared" si="86"/>
        <v>261</v>
      </c>
      <c r="K7" s="186">
        <f t="shared" si="87"/>
        <v>20.076923076923077</v>
      </c>
      <c r="M7" s="185">
        <v>53000</v>
      </c>
      <c r="N7" s="186">
        <f t="shared" si="88"/>
        <v>40</v>
      </c>
      <c r="O7" s="186">
        <f t="shared" si="89"/>
        <v>24</v>
      </c>
      <c r="P7" s="186">
        <f t="shared" si="90"/>
        <v>1312</v>
      </c>
      <c r="Q7" s="186">
        <f t="shared" si="91"/>
        <v>24.754716981132077</v>
      </c>
    </row>
    <row r="8">
      <c r="A8" s="185">
        <v>4000</v>
      </c>
      <c r="B8" s="186">
        <f t="shared" si="80"/>
        <v>40</v>
      </c>
      <c r="C8" s="186">
        <f t="shared" si="81"/>
        <v>17</v>
      </c>
      <c r="D8" s="186">
        <f t="shared" si="82"/>
        <v>108</v>
      </c>
      <c r="E8" s="186">
        <f t="shared" si="83"/>
        <v>27</v>
      </c>
      <c r="G8" s="185">
        <v>14000</v>
      </c>
      <c r="H8" s="186">
        <f t="shared" si="84"/>
        <v>40</v>
      </c>
      <c r="I8" s="186">
        <f t="shared" si="85"/>
        <v>17</v>
      </c>
      <c r="J8" s="186">
        <f t="shared" si="86"/>
        <v>278</v>
      </c>
      <c r="K8" s="186">
        <f t="shared" si="87"/>
        <v>19.857142857142858</v>
      </c>
      <c r="M8" s="185">
        <v>54000</v>
      </c>
      <c r="N8" s="186">
        <f t="shared" si="88"/>
        <v>40</v>
      </c>
      <c r="O8" s="186">
        <f t="shared" si="89"/>
        <v>24</v>
      </c>
      <c r="P8" s="186">
        <f t="shared" si="90"/>
        <v>1336</v>
      </c>
      <c r="Q8" s="186">
        <f t="shared" si="91"/>
        <v>24.74074074074074</v>
      </c>
    </row>
    <row r="9">
      <c r="A9" s="185">
        <v>5000</v>
      </c>
      <c r="B9" s="186">
        <f t="shared" si="80"/>
        <v>40</v>
      </c>
      <c r="C9" s="186">
        <f t="shared" si="81"/>
        <v>17</v>
      </c>
      <c r="D9" s="186">
        <f t="shared" si="82"/>
        <v>125</v>
      </c>
      <c r="E9" s="186">
        <f t="shared" si="83"/>
        <v>25</v>
      </c>
      <c r="G9" s="185">
        <v>15000</v>
      </c>
      <c r="H9" s="186">
        <f t="shared" si="84"/>
        <v>40</v>
      </c>
      <c r="I9" s="186">
        <f t="shared" si="85"/>
        <v>17</v>
      </c>
      <c r="J9" s="186">
        <f t="shared" si="86"/>
        <v>295</v>
      </c>
      <c r="K9" s="186">
        <f t="shared" si="87"/>
        <v>19.666666666666668</v>
      </c>
      <c r="M9" s="185">
        <v>55000</v>
      </c>
      <c r="N9" s="186">
        <f t="shared" si="88"/>
        <v>40</v>
      </c>
      <c r="O9" s="186">
        <f t="shared" si="89"/>
        <v>24</v>
      </c>
      <c r="P9" s="186">
        <f t="shared" si="90"/>
        <v>1360</v>
      </c>
      <c r="Q9" s="186">
        <f t="shared" si="91"/>
        <v>24.727272727272727</v>
      </c>
    </row>
    <row r="10">
      <c r="A10" s="185">
        <v>6000</v>
      </c>
      <c r="B10" s="186">
        <f t="shared" si="80"/>
        <v>40</v>
      </c>
      <c r="C10" s="186">
        <f t="shared" si="81"/>
        <v>17</v>
      </c>
      <c r="D10" s="186">
        <f t="shared" si="82"/>
        <v>142</v>
      </c>
      <c r="E10" s="186">
        <f t="shared" si="83"/>
        <v>23.666666666666668</v>
      </c>
      <c r="G10" s="185">
        <v>16000</v>
      </c>
      <c r="H10" s="186">
        <f t="shared" si="84"/>
        <v>40</v>
      </c>
      <c r="I10" s="186">
        <f t="shared" si="85"/>
        <v>17</v>
      </c>
      <c r="J10" s="186">
        <f t="shared" si="86"/>
        <v>312</v>
      </c>
      <c r="K10" s="186">
        <f t="shared" si="87"/>
        <v>19.5</v>
      </c>
      <c r="M10" s="185">
        <v>56000</v>
      </c>
      <c r="N10" s="186">
        <f t="shared" si="88"/>
        <v>40</v>
      </c>
      <c r="O10" s="186">
        <f t="shared" si="89"/>
        <v>24</v>
      </c>
      <c r="P10" s="186">
        <f t="shared" si="90"/>
        <v>1384</v>
      </c>
      <c r="Q10" s="186">
        <f t="shared" si="91"/>
        <v>24.714285714285715</v>
      </c>
    </row>
    <row r="11">
      <c r="A11" s="185">
        <v>7000</v>
      </c>
      <c r="B11" s="186">
        <f t="shared" si="80"/>
        <v>40</v>
      </c>
      <c r="C11" s="186">
        <f t="shared" si="81"/>
        <v>17</v>
      </c>
      <c r="D11" s="186">
        <f t="shared" si="82"/>
        <v>159</v>
      </c>
      <c r="E11" s="186">
        <f t="shared" si="83"/>
        <v>22.714285714285715</v>
      </c>
      <c r="G11" s="185">
        <v>17000</v>
      </c>
      <c r="H11" s="186">
        <f t="shared" si="84"/>
        <v>40</v>
      </c>
      <c r="I11" s="186">
        <f t="shared" si="85"/>
        <v>17</v>
      </c>
      <c r="J11" s="186">
        <f t="shared" si="86"/>
        <v>329</v>
      </c>
      <c r="K11" s="186">
        <f t="shared" si="87"/>
        <v>19.352941176470587</v>
      </c>
      <c r="M11" s="185">
        <v>57000</v>
      </c>
      <c r="N11" s="186">
        <f t="shared" si="88"/>
        <v>40</v>
      </c>
      <c r="O11" s="186">
        <f t="shared" si="89"/>
        <v>24</v>
      </c>
      <c r="P11" s="186">
        <f t="shared" si="90"/>
        <v>1408</v>
      </c>
      <c r="Q11" s="186">
        <f t="shared" si="91"/>
        <v>24.701754385964911</v>
      </c>
    </row>
    <row r="12">
      <c r="A12" s="185">
        <v>8000</v>
      </c>
      <c r="B12" s="186">
        <f t="shared" si="80"/>
        <v>40</v>
      </c>
      <c r="C12" s="186">
        <f t="shared" si="81"/>
        <v>17</v>
      </c>
      <c r="D12" s="186">
        <f t="shared" si="82"/>
        <v>176</v>
      </c>
      <c r="E12" s="186">
        <f t="shared" si="83"/>
        <v>22</v>
      </c>
      <c r="G12" s="185">
        <v>18000</v>
      </c>
      <c r="H12" s="186">
        <f t="shared" si="84"/>
        <v>40</v>
      </c>
      <c r="I12" s="186">
        <f t="shared" si="85"/>
        <v>17</v>
      </c>
      <c r="J12" s="186">
        <f t="shared" si="86"/>
        <v>346</v>
      </c>
      <c r="K12" s="186">
        <f t="shared" si="87"/>
        <v>19.222222222222221</v>
      </c>
      <c r="M12" s="185">
        <v>58000</v>
      </c>
      <c r="N12" s="186">
        <f t="shared" si="88"/>
        <v>40</v>
      </c>
      <c r="O12" s="186">
        <f t="shared" si="89"/>
        <v>24</v>
      </c>
      <c r="P12" s="186">
        <f t="shared" si="90"/>
        <v>1432</v>
      </c>
      <c r="Q12" s="186">
        <f t="shared" si="91"/>
        <v>24.689655172413794</v>
      </c>
    </row>
    <row r="13">
      <c r="A13" s="185">
        <v>9000</v>
      </c>
      <c r="B13" s="186">
        <f t="shared" si="80"/>
        <v>40</v>
      </c>
      <c r="C13" s="186">
        <f t="shared" si="81"/>
        <v>17</v>
      </c>
      <c r="D13" s="186">
        <f t="shared" si="82"/>
        <v>193</v>
      </c>
      <c r="E13" s="186">
        <f t="shared" si="83"/>
        <v>21.444444444444443</v>
      </c>
      <c r="G13" s="185">
        <v>19000</v>
      </c>
      <c r="H13" s="186">
        <f t="shared" si="84"/>
        <v>40</v>
      </c>
      <c r="I13" s="186">
        <f t="shared" si="85"/>
        <v>17</v>
      </c>
      <c r="J13" s="186">
        <f t="shared" si="86"/>
        <v>363</v>
      </c>
      <c r="K13" s="186">
        <f t="shared" si="87"/>
        <v>19.105263157894736</v>
      </c>
      <c r="M13" s="185">
        <v>59000</v>
      </c>
      <c r="N13" s="186">
        <f t="shared" si="88"/>
        <v>40</v>
      </c>
      <c r="O13" s="186">
        <f t="shared" si="89"/>
        <v>24</v>
      </c>
      <c r="P13" s="186">
        <f t="shared" si="90"/>
        <v>1456</v>
      </c>
      <c r="Q13" s="186">
        <f t="shared" si="91"/>
        <v>24.677966101694917</v>
      </c>
    </row>
    <row r="14">
      <c r="A14" s="185">
        <v>10000</v>
      </c>
      <c r="B14" s="186">
        <f t="shared" si="80"/>
        <v>40</v>
      </c>
      <c r="C14" s="186">
        <f t="shared" si="81"/>
        <v>17</v>
      </c>
      <c r="D14" s="186">
        <f t="shared" si="82"/>
        <v>210</v>
      </c>
      <c r="E14" s="186">
        <f t="shared" si="83"/>
        <v>21</v>
      </c>
      <c r="G14" s="185">
        <v>20000</v>
      </c>
      <c r="H14" s="186">
        <f t="shared" si="84"/>
        <v>40</v>
      </c>
      <c r="I14" s="186">
        <f t="shared" si="85"/>
        <v>17</v>
      </c>
      <c r="J14" s="186">
        <f t="shared" si="86"/>
        <v>380</v>
      </c>
      <c r="K14" s="186">
        <f t="shared" si="87"/>
        <v>19</v>
      </c>
      <c r="M14" s="185">
        <v>60000</v>
      </c>
      <c r="N14" s="186">
        <f t="shared" si="88"/>
        <v>40</v>
      </c>
      <c r="O14" s="186">
        <f t="shared" si="89"/>
        <v>24</v>
      </c>
      <c r="P14" s="186">
        <f t="shared" si="90"/>
        <v>1480</v>
      </c>
      <c r="Q14" s="186">
        <f t="shared" si="91"/>
        <v>24.666666666666668</v>
      </c>
    </row>
    <row r="15">
      <c r="G15" s="185">
        <v>21000</v>
      </c>
      <c r="H15" s="186">
        <f t="shared" si="84"/>
        <v>40</v>
      </c>
      <c r="I15" s="186">
        <f t="shared" si="85"/>
        <v>17</v>
      </c>
      <c r="J15" s="186">
        <f t="shared" si="86"/>
        <v>397</v>
      </c>
      <c r="K15" s="186">
        <f t="shared" si="87"/>
        <v>18.904761904761905</v>
      </c>
      <c r="M15" s="185">
        <v>61000</v>
      </c>
      <c r="N15" s="186">
        <f t="shared" si="88"/>
        <v>40</v>
      </c>
      <c r="O15" s="186">
        <f t="shared" si="89"/>
        <v>24</v>
      </c>
      <c r="P15" s="186">
        <f t="shared" si="90"/>
        <v>1504</v>
      </c>
      <c r="Q15" s="186">
        <f t="shared" si="91"/>
        <v>24.655737704918032</v>
      </c>
    </row>
    <row r="16">
      <c r="G16" s="185">
        <v>22000</v>
      </c>
      <c r="H16" s="186">
        <f t="shared" si="84"/>
        <v>40</v>
      </c>
      <c r="I16" s="186">
        <f t="shared" si="85"/>
        <v>17</v>
      </c>
      <c r="J16" s="186">
        <f t="shared" si="86"/>
        <v>414</v>
      </c>
      <c r="K16" s="186">
        <f t="shared" si="87"/>
        <v>18.818181818181817</v>
      </c>
      <c r="M16" s="185">
        <v>62000</v>
      </c>
      <c r="N16" s="186">
        <f t="shared" si="88"/>
        <v>40</v>
      </c>
      <c r="O16" s="186">
        <f t="shared" si="89"/>
        <v>24</v>
      </c>
      <c r="P16" s="186">
        <f t="shared" si="90"/>
        <v>1528</v>
      </c>
      <c r="Q16" s="186">
        <f t="shared" si="91"/>
        <v>24.64516129032258</v>
      </c>
    </row>
    <row r="17">
      <c r="G17" s="185">
        <v>23000</v>
      </c>
      <c r="H17" s="186">
        <f t="shared" si="84"/>
        <v>40</v>
      </c>
      <c r="I17" s="186">
        <f t="shared" si="85"/>
        <v>17</v>
      </c>
      <c r="J17" s="186">
        <f t="shared" si="86"/>
        <v>431</v>
      </c>
      <c r="K17" s="186">
        <f t="shared" si="87"/>
        <v>18.739130434782609</v>
      </c>
      <c r="M17" s="185">
        <v>63000</v>
      </c>
      <c r="N17" s="186">
        <f t="shared" si="88"/>
        <v>40</v>
      </c>
      <c r="O17" s="186">
        <f t="shared" si="89"/>
        <v>24</v>
      </c>
      <c r="P17" s="186">
        <f t="shared" si="90"/>
        <v>1552</v>
      </c>
      <c r="Q17" s="186">
        <f t="shared" si="91"/>
        <v>24.634920634920636</v>
      </c>
    </row>
    <row r="18">
      <c r="G18" s="185">
        <v>24000</v>
      </c>
      <c r="H18" s="186">
        <f t="shared" si="84"/>
        <v>40</v>
      </c>
      <c r="I18" s="186">
        <f t="shared" si="85"/>
        <v>17</v>
      </c>
      <c r="J18" s="186">
        <f t="shared" si="86"/>
        <v>448</v>
      </c>
      <c r="K18" s="186">
        <f t="shared" si="87"/>
        <v>18.666666666666668</v>
      </c>
      <c r="M18" s="185">
        <v>64000</v>
      </c>
      <c r="N18" s="186">
        <f t="shared" si="88"/>
        <v>40</v>
      </c>
      <c r="O18" s="186">
        <f t="shared" si="89"/>
        <v>24</v>
      </c>
      <c r="P18" s="186">
        <f t="shared" si="90"/>
        <v>1576</v>
      </c>
      <c r="Q18" s="186">
        <f t="shared" si="91"/>
        <v>24.625</v>
      </c>
    </row>
    <row r="19">
      <c r="G19" s="185">
        <v>25000</v>
      </c>
      <c r="H19" s="186">
        <f t="shared" si="84"/>
        <v>40</v>
      </c>
      <c r="I19" s="186">
        <f t="shared" si="85"/>
        <v>17</v>
      </c>
      <c r="J19" s="186">
        <f t="shared" si="86"/>
        <v>465</v>
      </c>
      <c r="K19" s="186">
        <f t="shared" si="87"/>
        <v>18.600000000000001</v>
      </c>
      <c r="M19" s="185">
        <v>65000</v>
      </c>
      <c r="N19" s="186">
        <f t="shared" si="88"/>
        <v>40</v>
      </c>
      <c r="O19" s="186">
        <f t="shared" si="89"/>
        <v>24</v>
      </c>
      <c r="P19" s="186">
        <f t="shared" si="90"/>
        <v>1600</v>
      </c>
      <c r="Q19" s="186">
        <f t="shared" si="91"/>
        <v>24.615384615384617</v>
      </c>
    </row>
    <row r="20">
      <c r="G20" s="185">
        <v>26000</v>
      </c>
      <c r="H20" s="186">
        <f t="shared" si="84"/>
        <v>40</v>
      </c>
      <c r="I20" s="186">
        <f t="shared" si="85"/>
        <v>17</v>
      </c>
      <c r="J20" s="186">
        <f t="shared" si="86"/>
        <v>482</v>
      </c>
      <c r="K20" s="186">
        <f t="shared" si="87"/>
        <v>18.53846153846154</v>
      </c>
      <c r="M20" s="185">
        <v>66000</v>
      </c>
      <c r="N20" s="186">
        <f t="shared" si="88"/>
        <v>40</v>
      </c>
      <c r="O20" s="186">
        <f t="shared" si="89"/>
        <v>24</v>
      </c>
      <c r="P20" s="186">
        <f t="shared" si="90"/>
        <v>1624</v>
      </c>
      <c r="Q20" s="186">
        <f t="shared" si="91"/>
        <v>24.606060606060606</v>
      </c>
    </row>
    <row r="21">
      <c r="G21" s="185">
        <v>27000</v>
      </c>
      <c r="H21" s="186">
        <f t="shared" si="84"/>
        <v>40</v>
      </c>
      <c r="I21" s="186">
        <f t="shared" si="85"/>
        <v>17</v>
      </c>
      <c r="J21" s="186">
        <f t="shared" si="86"/>
        <v>499</v>
      </c>
      <c r="K21" s="186">
        <f t="shared" si="87"/>
        <v>18.481481481481481</v>
      </c>
      <c r="M21" s="185">
        <v>67000</v>
      </c>
      <c r="N21" s="186">
        <f t="shared" si="88"/>
        <v>40</v>
      </c>
      <c r="O21" s="186">
        <f t="shared" si="89"/>
        <v>24</v>
      </c>
      <c r="P21" s="186">
        <f t="shared" si="90"/>
        <v>1648</v>
      </c>
      <c r="Q21" s="186">
        <f t="shared" si="91"/>
        <v>24.597014925373134</v>
      </c>
    </row>
    <row r="22">
      <c r="G22" s="185">
        <v>28000</v>
      </c>
      <c r="H22" s="186">
        <f t="shared" si="84"/>
        <v>40</v>
      </c>
      <c r="I22" s="186">
        <f t="shared" si="85"/>
        <v>17</v>
      </c>
      <c r="J22" s="186">
        <f t="shared" si="86"/>
        <v>516</v>
      </c>
      <c r="K22" s="186">
        <f t="shared" si="87"/>
        <v>18.428571428571427</v>
      </c>
      <c r="M22" s="185">
        <v>68000</v>
      </c>
      <c r="N22" s="186">
        <f t="shared" si="88"/>
        <v>40</v>
      </c>
      <c r="O22" s="186">
        <f t="shared" si="89"/>
        <v>24</v>
      </c>
      <c r="P22" s="186">
        <f t="shared" si="90"/>
        <v>1672</v>
      </c>
      <c r="Q22" s="186">
        <f t="shared" si="91"/>
        <v>24.588235294117649</v>
      </c>
    </row>
    <row r="23">
      <c r="G23" s="185">
        <v>29000</v>
      </c>
      <c r="H23" s="186">
        <f t="shared" si="84"/>
        <v>40</v>
      </c>
      <c r="I23" s="186">
        <f t="shared" si="85"/>
        <v>17</v>
      </c>
      <c r="J23" s="186">
        <f t="shared" si="86"/>
        <v>533</v>
      </c>
      <c r="K23" s="186">
        <f t="shared" si="87"/>
        <v>18.379310344827587</v>
      </c>
      <c r="M23" s="185">
        <v>69000</v>
      </c>
      <c r="N23" s="186">
        <f t="shared" si="88"/>
        <v>40</v>
      </c>
      <c r="O23" s="186">
        <f t="shared" si="89"/>
        <v>24</v>
      </c>
      <c r="P23" s="186">
        <f t="shared" si="90"/>
        <v>1696</v>
      </c>
      <c r="Q23" s="186">
        <f t="shared" si="91"/>
        <v>24.579710144927535</v>
      </c>
    </row>
    <row r="24">
      <c r="G24" s="185">
        <v>30000</v>
      </c>
      <c r="H24" s="186">
        <f t="shared" si="84"/>
        <v>40</v>
      </c>
      <c r="I24" s="186">
        <f t="shared" si="85"/>
        <v>17</v>
      </c>
      <c r="J24" s="186">
        <f t="shared" si="86"/>
        <v>550</v>
      </c>
      <c r="K24" s="186">
        <f t="shared" si="87"/>
        <v>18.333333333333332</v>
      </c>
      <c r="M24" s="185">
        <v>70000</v>
      </c>
      <c r="N24" s="186">
        <f t="shared" si="88"/>
        <v>40</v>
      </c>
      <c r="O24" s="186">
        <f t="shared" si="89"/>
        <v>24</v>
      </c>
      <c r="P24" s="186">
        <f t="shared" si="90"/>
        <v>1720</v>
      </c>
      <c r="Q24" s="186">
        <f t="shared" si="91"/>
        <v>24.571428571428573</v>
      </c>
    </row>
    <row r="25">
      <c r="G25" s="185">
        <v>31000</v>
      </c>
      <c r="H25" s="186">
        <f t="shared" si="84"/>
        <v>40</v>
      </c>
      <c r="I25" s="186">
        <f t="shared" si="85"/>
        <v>17</v>
      </c>
      <c r="J25" s="186">
        <f t="shared" si="86"/>
        <v>567</v>
      </c>
      <c r="K25" s="186">
        <f t="shared" si="87"/>
        <v>18.29032258064516</v>
      </c>
      <c r="M25" s="185">
        <v>71000</v>
      </c>
      <c r="N25" s="186">
        <f t="shared" si="88"/>
        <v>40</v>
      </c>
      <c r="O25" s="186">
        <f t="shared" si="89"/>
        <v>24</v>
      </c>
      <c r="P25" s="186">
        <f t="shared" si="90"/>
        <v>1744</v>
      </c>
      <c r="Q25" s="186">
        <f t="shared" si="91"/>
        <v>24.56338028169014</v>
      </c>
    </row>
    <row r="26">
      <c r="G26" s="185">
        <v>32000</v>
      </c>
      <c r="H26" s="186">
        <f t="shared" si="84"/>
        <v>40</v>
      </c>
      <c r="I26" s="186">
        <f t="shared" si="85"/>
        <v>17</v>
      </c>
      <c r="J26" s="186">
        <f t="shared" si="86"/>
        <v>584</v>
      </c>
      <c r="K26" s="186">
        <f t="shared" si="87"/>
        <v>18.25</v>
      </c>
      <c r="M26" s="185">
        <v>72000</v>
      </c>
      <c r="N26" s="186">
        <f t="shared" si="88"/>
        <v>40</v>
      </c>
      <c r="O26" s="186">
        <f t="shared" si="89"/>
        <v>24</v>
      </c>
      <c r="P26" s="186">
        <f t="shared" si="90"/>
        <v>1768</v>
      </c>
      <c r="Q26" s="186">
        <f t="shared" si="91"/>
        <v>24.555555555555557</v>
      </c>
    </row>
    <row r="27">
      <c r="G27" s="185">
        <v>33000</v>
      </c>
      <c r="H27" s="186">
        <f t="shared" si="84"/>
        <v>40</v>
      </c>
      <c r="I27" s="186">
        <f t="shared" si="85"/>
        <v>17</v>
      </c>
      <c r="J27" s="186">
        <f t="shared" si="86"/>
        <v>601</v>
      </c>
      <c r="K27" s="186">
        <f t="shared" si="87"/>
        <v>18.212121212121211</v>
      </c>
      <c r="M27" s="185">
        <v>73000</v>
      </c>
      <c r="N27" s="186">
        <f t="shared" si="88"/>
        <v>40</v>
      </c>
      <c r="O27" s="186">
        <f t="shared" si="89"/>
        <v>24</v>
      </c>
      <c r="P27" s="186">
        <f t="shared" si="90"/>
        <v>1792</v>
      </c>
      <c r="Q27" s="186">
        <f t="shared" si="91"/>
        <v>24.547945205479451</v>
      </c>
    </row>
    <row r="28">
      <c r="G28" s="185">
        <v>34000</v>
      </c>
      <c r="H28" s="186">
        <f t="shared" si="84"/>
        <v>40</v>
      </c>
      <c r="I28" s="186">
        <f t="shared" si="85"/>
        <v>17</v>
      </c>
      <c r="J28" s="186">
        <f t="shared" si="86"/>
        <v>618</v>
      </c>
      <c r="K28" s="186">
        <f t="shared" si="87"/>
        <v>18.176470588235293</v>
      </c>
      <c r="M28" s="185">
        <v>74000</v>
      </c>
      <c r="N28" s="186">
        <f t="shared" si="88"/>
        <v>40</v>
      </c>
      <c r="O28" s="186">
        <f t="shared" si="89"/>
        <v>24</v>
      </c>
      <c r="P28" s="186">
        <f t="shared" si="90"/>
        <v>1816</v>
      </c>
      <c r="Q28" s="186">
        <f t="shared" si="91"/>
        <v>24.54054054054054</v>
      </c>
    </row>
    <row r="29">
      <c r="G29" s="185">
        <v>35000</v>
      </c>
      <c r="H29" s="186">
        <f t="shared" si="84"/>
        <v>40</v>
      </c>
      <c r="I29" s="186">
        <f t="shared" si="85"/>
        <v>17</v>
      </c>
      <c r="J29" s="186">
        <f t="shared" si="86"/>
        <v>635</v>
      </c>
      <c r="K29" s="186">
        <f t="shared" si="87"/>
        <v>18.142857142857142</v>
      </c>
      <c r="M29" s="185">
        <v>75000</v>
      </c>
      <c r="N29" s="186">
        <f t="shared" si="88"/>
        <v>40</v>
      </c>
      <c r="O29" s="186">
        <f t="shared" si="89"/>
        <v>24</v>
      </c>
      <c r="P29" s="186">
        <f t="shared" si="90"/>
        <v>1840</v>
      </c>
      <c r="Q29" s="186">
        <f t="shared" si="91"/>
        <v>24.533333333333335</v>
      </c>
    </row>
    <row r="30">
      <c r="G30" s="185">
        <v>36000</v>
      </c>
      <c r="H30" s="186">
        <f t="shared" si="84"/>
        <v>40</v>
      </c>
      <c r="I30" s="186">
        <f t="shared" si="85"/>
        <v>17</v>
      </c>
      <c r="J30" s="186">
        <f t="shared" si="86"/>
        <v>652</v>
      </c>
      <c r="K30" s="186">
        <f t="shared" si="87"/>
        <v>18.111111111111111</v>
      </c>
      <c r="M30" s="185">
        <v>76000</v>
      </c>
      <c r="N30" s="186">
        <f t="shared" si="88"/>
        <v>40</v>
      </c>
      <c r="O30" s="186">
        <f t="shared" si="89"/>
        <v>24</v>
      </c>
      <c r="P30" s="186">
        <f t="shared" si="90"/>
        <v>1864</v>
      </c>
      <c r="Q30" s="186">
        <f t="shared" si="91"/>
        <v>24.526315789473685</v>
      </c>
    </row>
    <row r="31">
      <c r="G31" s="185">
        <v>37000</v>
      </c>
      <c r="H31" s="186">
        <f t="shared" si="84"/>
        <v>40</v>
      </c>
      <c r="I31" s="186">
        <f t="shared" si="85"/>
        <v>17</v>
      </c>
      <c r="J31" s="186">
        <f t="shared" si="86"/>
        <v>669</v>
      </c>
      <c r="K31" s="186">
        <f t="shared" si="87"/>
        <v>18.081081081081081</v>
      </c>
      <c r="M31" s="185">
        <v>77000</v>
      </c>
      <c r="N31" s="186">
        <f t="shared" si="88"/>
        <v>40</v>
      </c>
      <c r="O31" s="186">
        <f t="shared" si="89"/>
        <v>24</v>
      </c>
      <c r="P31" s="186">
        <f t="shared" si="90"/>
        <v>1888</v>
      </c>
      <c r="Q31" s="186">
        <f t="shared" si="91"/>
        <v>24.519480519480521</v>
      </c>
    </row>
    <row r="32">
      <c r="G32" s="185">
        <v>38000</v>
      </c>
      <c r="H32" s="186">
        <f t="shared" si="84"/>
        <v>40</v>
      </c>
      <c r="I32" s="186">
        <f t="shared" si="85"/>
        <v>17</v>
      </c>
      <c r="J32" s="186">
        <f t="shared" si="86"/>
        <v>686</v>
      </c>
      <c r="K32" s="186">
        <f t="shared" si="87"/>
        <v>18.05263157894737</v>
      </c>
      <c r="M32" s="185">
        <v>78000</v>
      </c>
      <c r="N32" s="186">
        <f t="shared" si="88"/>
        <v>40</v>
      </c>
      <c r="O32" s="186">
        <f t="shared" si="89"/>
        <v>24</v>
      </c>
      <c r="P32" s="186">
        <f t="shared" si="90"/>
        <v>1912</v>
      </c>
      <c r="Q32" s="186">
        <f t="shared" si="91"/>
        <v>24.512820512820515</v>
      </c>
    </row>
    <row r="33">
      <c r="G33" s="185">
        <v>39000</v>
      </c>
      <c r="H33" s="186">
        <f t="shared" si="84"/>
        <v>40</v>
      </c>
      <c r="I33" s="186">
        <f t="shared" si="85"/>
        <v>17</v>
      </c>
      <c r="J33" s="186">
        <f t="shared" si="86"/>
        <v>703</v>
      </c>
      <c r="K33" s="186">
        <f t="shared" si="87"/>
        <v>18.025641025641026</v>
      </c>
      <c r="M33" s="185">
        <v>79000</v>
      </c>
      <c r="N33" s="186">
        <f t="shared" si="88"/>
        <v>40</v>
      </c>
      <c r="O33" s="186">
        <f t="shared" si="89"/>
        <v>24</v>
      </c>
      <c r="P33" s="186">
        <f t="shared" si="90"/>
        <v>1936</v>
      </c>
      <c r="Q33" s="186">
        <f t="shared" si="91"/>
        <v>24.50632911392405</v>
      </c>
    </row>
    <row r="34">
      <c r="G34" s="185">
        <v>40000</v>
      </c>
      <c r="H34" s="186">
        <f t="shared" si="84"/>
        <v>40</v>
      </c>
      <c r="I34" s="186">
        <f t="shared" si="85"/>
        <v>17</v>
      </c>
      <c r="J34" s="186">
        <f t="shared" si="86"/>
        <v>720</v>
      </c>
      <c r="K34" s="186">
        <f t="shared" si="87"/>
        <v>18</v>
      </c>
      <c r="M34" s="185">
        <v>80000</v>
      </c>
      <c r="N34" s="186">
        <f t="shared" si="88"/>
        <v>40</v>
      </c>
      <c r="O34" s="186">
        <f t="shared" si="89"/>
        <v>24</v>
      </c>
      <c r="P34" s="186">
        <f t="shared" si="90"/>
        <v>1960</v>
      </c>
      <c r="Q34" s="186">
        <f t="shared" si="91"/>
        <v>24.5</v>
      </c>
    </row>
    <row r="35">
      <c r="G35" s="185">
        <v>41000</v>
      </c>
      <c r="H35" s="186">
        <f t="shared" si="84"/>
        <v>40</v>
      </c>
      <c r="I35" s="186">
        <f t="shared" si="85"/>
        <v>17</v>
      </c>
      <c r="J35" s="186">
        <f t="shared" si="86"/>
        <v>737</v>
      </c>
      <c r="K35" s="186">
        <f t="shared" si="87"/>
        <v>17.975609756097562</v>
      </c>
      <c r="M35" s="185">
        <v>81000</v>
      </c>
      <c r="N35" s="186">
        <f t="shared" si="88"/>
        <v>40</v>
      </c>
      <c r="O35" s="186">
        <f t="shared" si="89"/>
        <v>24</v>
      </c>
      <c r="P35" s="186">
        <f t="shared" si="90"/>
        <v>1984</v>
      </c>
      <c r="Q35" s="186">
        <f t="shared" si="91"/>
        <v>24.493827160493826</v>
      </c>
    </row>
    <row r="36">
      <c r="G36" s="185">
        <v>42000</v>
      </c>
      <c r="H36" s="186">
        <f t="shared" si="84"/>
        <v>40</v>
      </c>
      <c r="I36" s="186">
        <f t="shared" si="85"/>
        <v>17</v>
      </c>
      <c r="J36" s="186">
        <f t="shared" si="86"/>
        <v>754</v>
      </c>
      <c r="K36" s="186">
        <f t="shared" si="87"/>
        <v>17.952380952380953</v>
      </c>
      <c r="M36" s="185">
        <v>82000</v>
      </c>
      <c r="N36" s="186">
        <f t="shared" si="88"/>
        <v>40</v>
      </c>
      <c r="O36" s="186">
        <f t="shared" si="89"/>
        <v>24</v>
      </c>
      <c r="P36" s="186">
        <f t="shared" si="90"/>
        <v>2008</v>
      </c>
      <c r="Q36" s="186">
        <f t="shared" si="91"/>
        <v>24.487804878048781</v>
      </c>
    </row>
    <row r="37">
      <c r="G37" s="185">
        <v>43000</v>
      </c>
      <c r="H37" s="186">
        <f t="shared" si="84"/>
        <v>40</v>
      </c>
      <c r="I37" s="186">
        <f t="shared" si="85"/>
        <v>17</v>
      </c>
      <c r="J37" s="186">
        <f t="shared" si="86"/>
        <v>771</v>
      </c>
      <c r="K37" s="186">
        <f t="shared" si="87"/>
        <v>17.930232558139537</v>
      </c>
      <c r="M37" s="185">
        <v>83000</v>
      </c>
      <c r="N37" s="186">
        <f t="shared" si="88"/>
        <v>40</v>
      </c>
      <c r="O37" s="186">
        <f t="shared" si="89"/>
        <v>24</v>
      </c>
      <c r="P37" s="186">
        <f t="shared" si="90"/>
        <v>2032</v>
      </c>
      <c r="Q37" s="186">
        <f t="shared" si="91"/>
        <v>24.481927710843372</v>
      </c>
    </row>
    <row r="38">
      <c r="G38" s="185">
        <v>44000</v>
      </c>
      <c r="H38" s="186">
        <f t="shared" si="84"/>
        <v>40</v>
      </c>
      <c r="I38" s="186">
        <f t="shared" si="85"/>
        <v>17</v>
      </c>
      <c r="J38" s="186">
        <f t="shared" si="86"/>
        <v>788</v>
      </c>
      <c r="K38" s="186">
        <f t="shared" si="87"/>
        <v>17.90909090909091</v>
      </c>
      <c r="M38" s="185">
        <v>84000</v>
      </c>
      <c r="N38" s="186">
        <f t="shared" si="88"/>
        <v>40</v>
      </c>
      <c r="O38" s="186">
        <f t="shared" si="89"/>
        <v>24</v>
      </c>
      <c r="P38" s="186">
        <f t="shared" si="90"/>
        <v>2056</v>
      </c>
      <c r="Q38" s="186">
        <f t="shared" si="91"/>
        <v>24.476190476190474</v>
      </c>
    </row>
    <row r="39">
      <c r="G39" s="185">
        <v>45000</v>
      </c>
      <c r="H39" s="186">
        <f t="shared" si="84"/>
        <v>40</v>
      </c>
      <c r="I39" s="186">
        <f t="shared" si="85"/>
        <v>17</v>
      </c>
      <c r="J39" s="186">
        <f t="shared" si="86"/>
        <v>805</v>
      </c>
      <c r="K39" s="186">
        <f t="shared" si="87"/>
        <v>17.888888888888889</v>
      </c>
      <c r="M39" s="185">
        <v>85000</v>
      </c>
      <c r="N39" s="186">
        <f t="shared" si="88"/>
        <v>40</v>
      </c>
      <c r="O39" s="186">
        <f t="shared" si="89"/>
        <v>24</v>
      </c>
      <c r="P39" s="186">
        <f t="shared" si="90"/>
        <v>2080</v>
      </c>
      <c r="Q39" s="186">
        <f t="shared" si="91"/>
        <v>24.470588235294116</v>
      </c>
    </row>
    <row r="40">
      <c r="G40" s="185">
        <v>46000</v>
      </c>
      <c r="H40" s="186">
        <f t="shared" si="84"/>
        <v>40</v>
      </c>
      <c r="I40" s="186">
        <f t="shared" si="85"/>
        <v>17</v>
      </c>
      <c r="J40" s="186">
        <f t="shared" si="86"/>
        <v>822</v>
      </c>
      <c r="K40" s="186">
        <f t="shared" si="87"/>
        <v>17.869565217391305</v>
      </c>
      <c r="M40" s="185">
        <v>86000</v>
      </c>
      <c r="N40" s="186">
        <f t="shared" si="88"/>
        <v>40</v>
      </c>
      <c r="O40" s="186">
        <f t="shared" si="89"/>
        <v>24</v>
      </c>
      <c r="P40" s="186">
        <f t="shared" si="90"/>
        <v>2104</v>
      </c>
      <c r="Q40" s="186">
        <f t="shared" si="91"/>
        <v>24.465116279069768</v>
      </c>
    </row>
    <row r="41">
      <c r="G41" s="185">
        <v>47000</v>
      </c>
      <c r="H41" s="186">
        <f t="shared" si="84"/>
        <v>40</v>
      </c>
      <c r="I41" s="186">
        <f t="shared" si="85"/>
        <v>17</v>
      </c>
      <c r="J41" s="186">
        <f t="shared" si="86"/>
        <v>839</v>
      </c>
      <c r="K41" s="186">
        <f t="shared" si="87"/>
        <v>17.851063829787233</v>
      </c>
      <c r="M41" s="185">
        <v>87000</v>
      </c>
      <c r="N41" s="186">
        <f t="shared" si="88"/>
        <v>40</v>
      </c>
      <c r="O41" s="186">
        <f t="shared" si="89"/>
        <v>24</v>
      </c>
      <c r="P41" s="186">
        <f t="shared" si="90"/>
        <v>2128</v>
      </c>
      <c r="Q41" s="186">
        <f t="shared" si="91"/>
        <v>24.459770114942529</v>
      </c>
    </row>
    <row r="42">
      <c r="G42" s="185">
        <v>48000</v>
      </c>
      <c r="H42" s="186">
        <f t="shared" si="84"/>
        <v>40</v>
      </c>
      <c r="I42" s="186">
        <f t="shared" si="85"/>
        <v>17</v>
      </c>
      <c r="J42" s="186">
        <f t="shared" si="86"/>
        <v>856</v>
      </c>
      <c r="K42" s="186">
        <f t="shared" si="87"/>
        <v>17.833333333333332</v>
      </c>
      <c r="M42" s="185">
        <v>88000</v>
      </c>
      <c r="N42" s="186">
        <f t="shared" si="88"/>
        <v>40</v>
      </c>
      <c r="O42" s="186">
        <f t="shared" si="89"/>
        <v>24</v>
      </c>
      <c r="P42" s="186">
        <f t="shared" si="90"/>
        <v>2152</v>
      </c>
      <c r="Q42" s="186">
        <f t="shared" si="91"/>
        <v>24.454545454545453</v>
      </c>
    </row>
    <row r="43">
      <c r="G43" s="185">
        <v>49000</v>
      </c>
      <c r="H43" s="186">
        <f t="shared" si="84"/>
        <v>40</v>
      </c>
      <c r="I43" s="186">
        <f t="shared" si="85"/>
        <v>17</v>
      </c>
      <c r="J43" s="186">
        <f t="shared" si="86"/>
        <v>873</v>
      </c>
      <c r="K43" s="186">
        <f t="shared" si="87"/>
        <v>17.816326530612244</v>
      </c>
      <c r="M43" s="185">
        <v>89000</v>
      </c>
      <c r="N43" s="186">
        <f t="shared" si="88"/>
        <v>40</v>
      </c>
      <c r="O43" s="186">
        <f t="shared" si="89"/>
        <v>24</v>
      </c>
      <c r="P43" s="186">
        <f t="shared" si="90"/>
        <v>2176</v>
      </c>
      <c r="Q43" s="186">
        <f t="shared" si="91"/>
        <v>24.44943820224719</v>
      </c>
    </row>
    <row r="44">
      <c r="G44" s="185">
        <v>50000</v>
      </c>
      <c r="H44" s="186">
        <f t="shared" si="84"/>
        <v>40</v>
      </c>
      <c r="I44" s="186">
        <f t="shared" si="85"/>
        <v>17</v>
      </c>
      <c r="J44" s="186">
        <f t="shared" si="86"/>
        <v>890</v>
      </c>
      <c r="K44" s="186">
        <f t="shared" si="87"/>
        <v>17.800000000000001</v>
      </c>
      <c r="M44" s="185">
        <v>90000</v>
      </c>
      <c r="N44" s="186">
        <f t="shared" si="88"/>
        <v>40</v>
      </c>
      <c r="O44" s="186">
        <f t="shared" si="89"/>
        <v>24</v>
      </c>
      <c r="P44" s="186">
        <f t="shared" si="90"/>
        <v>2200</v>
      </c>
      <c r="Q44" s="186">
        <f t="shared" si="91"/>
        <v>24.444444444444443</v>
      </c>
    </row>
    <row r="45">
      <c r="M45" s="185">
        <v>91000</v>
      </c>
      <c r="N45" s="186">
        <f t="shared" si="88"/>
        <v>40</v>
      </c>
      <c r="O45" s="186">
        <f t="shared" si="89"/>
        <v>24</v>
      </c>
      <c r="P45" s="186">
        <f t="shared" si="90"/>
        <v>2224</v>
      </c>
      <c r="Q45" s="186">
        <f t="shared" si="91"/>
        <v>24.439560439560438</v>
      </c>
    </row>
    <row r="46">
      <c r="M46" s="185">
        <v>92000</v>
      </c>
      <c r="N46" s="186">
        <f t="shared" si="88"/>
        <v>40</v>
      </c>
      <c r="O46" s="186">
        <f t="shared" si="89"/>
        <v>24</v>
      </c>
      <c r="P46" s="186">
        <f t="shared" si="90"/>
        <v>2248</v>
      </c>
      <c r="Q46" s="186">
        <f t="shared" si="91"/>
        <v>24.434782608695652</v>
      </c>
    </row>
    <row r="47">
      <c r="M47" s="185">
        <v>93000</v>
      </c>
      <c r="N47" s="186">
        <f t="shared" si="88"/>
        <v>40</v>
      </c>
      <c r="O47" s="186">
        <f t="shared" si="89"/>
        <v>24</v>
      </c>
      <c r="P47" s="186">
        <f t="shared" si="90"/>
        <v>2272</v>
      </c>
      <c r="Q47" s="186">
        <f t="shared" si="91"/>
        <v>24.43010752688172</v>
      </c>
    </row>
    <row r="48">
      <c r="M48" s="185">
        <v>94000</v>
      </c>
      <c r="N48" s="186">
        <f t="shared" si="88"/>
        <v>40</v>
      </c>
      <c r="O48" s="186">
        <f t="shared" si="89"/>
        <v>24</v>
      </c>
      <c r="P48" s="186">
        <f t="shared" si="90"/>
        <v>2296</v>
      </c>
      <c r="Q48" s="186">
        <f t="shared" si="91"/>
        <v>24.425531914893618</v>
      </c>
    </row>
    <row r="49">
      <c r="M49" s="185">
        <v>95000</v>
      </c>
      <c r="N49" s="186">
        <f t="shared" si="88"/>
        <v>40</v>
      </c>
      <c r="O49" s="186">
        <f t="shared" si="89"/>
        <v>24</v>
      </c>
      <c r="P49" s="186">
        <f t="shared" si="90"/>
        <v>2320</v>
      </c>
      <c r="Q49" s="186">
        <f t="shared" si="91"/>
        <v>24.421052631578949</v>
      </c>
    </row>
    <row r="50">
      <c r="M50" s="185">
        <v>96000</v>
      </c>
      <c r="N50" s="186">
        <f t="shared" si="88"/>
        <v>40</v>
      </c>
      <c r="O50" s="186">
        <f t="shared" si="89"/>
        <v>24</v>
      </c>
      <c r="P50" s="186">
        <f t="shared" si="90"/>
        <v>2344</v>
      </c>
      <c r="Q50" s="186">
        <f t="shared" si="91"/>
        <v>24.416666666666668</v>
      </c>
    </row>
    <row r="51">
      <c r="M51" s="185">
        <v>97000</v>
      </c>
      <c r="N51" s="186">
        <f t="shared" si="88"/>
        <v>40</v>
      </c>
      <c r="O51" s="186">
        <f t="shared" si="89"/>
        <v>24</v>
      </c>
      <c r="P51" s="186">
        <f t="shared" si="90"/>
        <v>2368</v>
      </c>
      <c r="Q51" s="186">
        <f t="shared" si="91"/>
        <v>24.412371134020617</v>
      </c>
    </row>
    <row r="52">
      <c r="M52" s="185">
        <v>98000</v>
      </c>
      <c r="N52" s="186">
        <f t="shared" si="88"/>
        <v>40</v>
      </c>
      <c r="O52" s="186">
        <f t="shared" si="89"/>
        <v>24</v>
      </c>
      <c r="P52" s="186">
        <f t="shared" si="90"/>
        <v>2392</v>
      </c>
      <c r="Q52" s="186">
        <f t="shared" si="91"/>
        <v>24.408163265306122</v>
      </c>
    </row>
    <row r="53">
      <c r="M53" s="185">
        <v>99000</v>
      </c>
      <c r="N53" s="186">
        <f t="shared" si="88"/>
        <v>40</v>
      </c>
      <c r="O53" s="186">
        <f t="shared" si="89"/>
        <v>24</v>
      </c>
      <c r="P53" s="186">
        <f t="shared" si="90"/>
        <v>2416</v>
      </c>
      <c r="Q53" s="186">
        <f t="shared" si="91"/>
        <v>24.404040404040405</v>
      </c>
    </row>
    <row r="54">
      <c r="M54" s="185">
        <v>100000</v>
      </c>
      <c r="N54" s="186">
        <f t="shared" si="88"/>
        <v>40</v>
      </c>
      <c r="O54" s="186">
        <f t="shared" si="89"/>
        <v>24</v>
      </c>
      <c r="P54" s="186">
        <f t="shared" si="90"/>
        <v>2440</v>
      </c>
      <c r="Q54" s="186">
        <f t="shared" si="91"/>
        <v>24.399999999999999</v>
      </c>
    </row>
    <row r="67">
      <c r="E67" t="s">
        <v>618</v>
      </c>
      <c r="F67" t="s">
        <v>619</v>
      </c>
      <c r="G67" t="s">
        <v>92</v>
      </c>
    </row>
    <row r="68">
      <c r="E68">
        <v>250</v>
      </c>
      <c r="F68">
        <v>391</v>
      </c>
      <c r="G68">
        <v>210</v>
      </c>
      <c r="H68">
        <f>E68*F68/1000*G68/1000</f>
        <v>20.5275</v>
      </c>
    </row>
  </sheetData>
  <mergeCells count="6">
    <mergeCell ref="P3:Q3"/>
    <mergeCell ref="B3:C3"/>
    <mergeCell ref="H3:I3"/>
    <mergeCell ref="N3:O3"/>
    <mergeCell ref="D3:E3"/>
    <mergeCell ref="J3:K3"/>
  </mergeCells>
  <printOptions headings="0" gridLines="0"/>
  <pageMargins left="0.69999999999999996" right="0.69999999999999996" top="0.78740157500000008" bottom="0.78740157500000008"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60" workbookViewId="0">
      <selection activeCell="F9" activeCellId="0" sqref="F9"/>
    </sheetView>
  </sheetViews>
  <sheetFormatPr baseColWidth="10" defaultRowHeight="14.4"/>
  <cols>
    <col customWidth="1" min="1" max="1" width="39.88671875"/>
    <col customWidth="1" min="2" max="2" width="17"/>
    <col customWidth="1" min="3" max="3" width="24.6640625"/>
    <col customWidth="1" min="4" max="4" width="13.109375"/>
  </cols>
  <sheetData>
    <row r="2" ht="15.6">
      <c r="A2" s="187" t="s">
        <v>620</v>
      </c>
    </row>
    <row r="3" s="188" customFormat="1" ht="43.200000000000003">
      <c r="A3" s="189"/>
      <c r="B3" s="190"/>
      <c r="C3" s="190" t="s">
        <v>621</v>
      </c>
      <c r="D3" s="191" t="s">
        <v>622</v>
      </c>
      <c r="F3" s="185"/>
      <c r="G3" s="191"/>
    </row>
    <row r="4" s="192" customFormat="1">
      <c r="A4" s="192" t="s">
        <v>390</v>
      </c>
      <c r="B4" s="193" t="s">
        <v>623</v>
      </c>
      <c r="C4" s="193" t="s">
        <v>624</v>
      </c>
      <c r="D4" s="193" t="s">
        <v>625</v>
      </c>
      <c r="F4" s="185"/>
      <c r="G4" s="193"/>
    </row>
    <row r="5">
      <c r="A5" t="s">
        <v>626</v>
      </c>
      <c r="B5" s="194" t="s">
        <v>627</v>
      </c>
      <c r="C5" s="195">
        <v>0.35999999999999999</v>
      </c>
      <c r="D5" s="185">
        <v>3334</v>
      </c>
      <c r="E5" s="185"/>
      <c r="F5" s="185"/>
      <c r="G5" s="185"/>
    </row>
    <row r="6">
      <c r="A6" t="s">
        <v>628</v>
      </c>
      <c r="B6" s="194" t="s">
        <v>627</v>
      </c>
      <c r="C6" s="195">
        <v>0.38</v>
      </c>
      <c r="D6" s="185">
        <v>3393</v>
      </c>
      <c r="E6" s="185"/>
      <c r="F6" s="185"/>
      <c r="G6" s="185"/>
    </row>
    <row r="7">
      <c r="A7" t="s">
        <v>629</v>
      </c>
      <c r="B7" s="194" t="s">
        <v>630</v>
      </c>
      <c r="C7" s="195">
        <v>0.41999999999999998</v>
      </c>
      <c r="D7" s="185">
        <v>3500</v>
      </c>
      <c r="E7" s="185"/>
      <c r="F7" s="185"/>
      <c r="G7" s="185"/>
    </row>
    <row r="8">
      <c r="A8" t="s">
        <v>631</v>
      </c>
      <c r="B8" s="194" t="s">
        <v>632</v>
      </c>
      <c r="C8" s="195">
        <v>0.54000000000000004</v>
      </c>
      <c r="D8" s="185">
        <v>3750</v>
      </c>
      <c r="E8" s="185"/>
      <c r="F8" s="185"/>
      <c r="G8" s="185"/>
    </row>
    <row r="9">
      <c r="A9" t="s">
        <v>633</v>
      </c>
      <c r="B9" s="194" t="s">
        <v>634</v>
      </c>
      <c r="C9" s="195">
        <v>0.67000000000000004</v>
      </c>
      <c r="D9" s="185">
        <v>3942</v>
      </c>
      <c r="E9" s="185"/>
      <c r="F9" s="185"/>
      <c r="G9" s="185"/>
    </row>
    <row r="10">
      <c r="A10" t="s">
        <v>635</v>
      </c>
      <c r="B10" s="194" t="s">
        <v>636</v>
      </c>
      <c r="C10" s="195">
        <v>0.81999999999999995</v>
      </c>
      <c r="D10" s="185">
        <v>4100</v>
      </c>
      <c r="E10" s="185"/>
      <c r="F10" s="185"/>
      <c r="G10" s="185"/>
    </row>
    <row r="11">
      <c r="A11" t="s">
        <v>637</v>
      </c>
      <c r="B11" s="194" t="s">
        <v>638</v>
      </c>
      <c r="C11" s="195">
        <v>0.93999999999999995</v>
      </c>
      <c r="D11" s="185">
        <v>4197</v>
      </c>
      <c r="E11" s="185"/>
      <c r="F11" s="185"/>
      <c r="G11" s="185"/>
    </row>
    <row r="12">
      <c r="A12" t="s">
        <v>639</v>
      </c>
      <c r="B12" s="194" t="s">
        <v>640</v>
      </c>
      <c r="C12" s="195">
        <v>1.1100000000000001</v>
      </c>
      <c r="D12" s="185">
        <v>4303</v>
      </c>
      <c r="E12" s="185"/>
      <c r="F12" s="185"/>
      <c r="G12" s="185"/>
    </row>
    <row r="13">
      <c r="B13" s="194"/>
      <c r="C13" s="195"/>
    </row>
    <row r="15" ht="45" customHeight="1">
      <c r="A15" s="196" t="s">
        <v>641</v>
      </c>
      <c r="B15" s="197" t="s">
        <v>642</v>
      </c>
      <c r="C15" s="198" t="s">
        <v>643</v>
      </c>
    </row>
    <row r="16">
      <c r="A16" s="196"/>
      <c r="B16" s="197"/>
      <c r="C16" s="198"/>
    </row>
    <row r="17">
      <c r="A17" t="s">
        <v>644</v>
      </c>
    </row>
  </sheetData>
  <mergeCells count="3">
    <mergeCell ref="A15:A16"/>
    <mergeCell ref="B15:B16"/>
    <mergeCell ref="C15:C16"/>
  </mergeCells>
  <printOptions headings="0" gridLines="0"/>
  <pageMargins left="0.69999999999999996" right="0.69999999999999996" top="0.78740157500000008" bottom="0.78740157500000008" header="0.29999999999999999" footer="0.29999999999999999"/>
  <pageSetup paperSize="9" scale="100" fitToWidth="1" fitToHeight="1" pageOrder="downThenOver" orientation="landscape"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B13" activeCellId="0" sqref="B13"/>
    </sheetView>
  </sheetViews>
  <sheetFormatPr baseColWidth="10" defaultRowHeight="14.4"/>
  <cols>
    <col customWidth="1" min="1" max="1" width="18.44140625"/>
    <col bestFit="1" customWidth="1" min="3" max="3" width="12.44140625"/>
    <col bestFit="1" customWidth="1" min="4" max="4" width="12.109375"/>
  </cols>
  <sheetData>
    <row r="1" ht="20.25" customHeight="1">
      <c r="A1" s="199" t="s">
        <v>645</v>
      </c>
    </row>
    <row r="2" ht="20.25" customHeight="1">
      <c r="A2" s="200" t="s">
        <v>646</v>
      </c>
      <c r="B2" s="201">
        <v>12</v>
      </c>
    </row>
    <row r="3" ht="20.25" customHeight="1">
      <c r="A3" s="200" t="s">
        <v>647</v>
      </c>
      <c r="B3" s="201">
        <v>105</v>
      </c>
    </row>
    <row r="4" ht="20.25" customHeight="1">
      <c r="A4" s="200" t="s">
        <v>648</v>
      </c>
      <c r="B4" s="201">
        <v>210</v>
      </c>
    </row>
    <row r="5" ht="20.25" customHeight="1">
      <c r="A5" s="200" t="s">
        <v>649</v>
      </c>
      <c r="B5" s="201">
        <v>90</v>
      </c>
    </row>
    <row r="6" ht="20.25" customHeight="1">
      <c r="A6" s="200" t="s">
        <v>650</v>
      </c>
      <c r="B6" s="202">
        <f>ROUND((B2/2)*B5*(B3/1000)*(B4/1000)+((B2/2)*B5*(B3/1000)*(B4/1000)*0.01),1)</f>
        <v>12</v>
      </c>
    </row>
    <row r="7" ht="20.25" customHeight="1"/>
    <row r="8" ht="20.25" customHeight="1">
      <c r="A8" s="199" t="s">
        <v>11</v>
      </c>
    </row>
    <row r="9" ht="20.25" customHeight="1">
      <c r="A9" s="200" t="s">
        <v>646</v>
      </c>
      <c r="B9" s="201">
        <v>4</v>
      </c>
    </row>
    <row r="10" ht="20.25" customHeight="1">
      <c r="A10" s="200" t="s">
        <v>647</v>
      </c>
      <c r="B10" s="201">
        <v>105</v>
      </c>
    </row>
    <row r="11" ht="20.25" customHeight="1">
      <c r="A11" s="200" t="s">
        <v>648</v>
      </c>
      <c r="B11" s="201">
        <v>210</v>
      </c>
    </row>
    <row r="12" ht="20.25" customHeight="1">
      <c r="A12" s="200" t="s">
        <v>649</v>
      </c>
      <c r="B12" s="201">
        <v>170</v>
      </c>
    </row>
    <row r="13" ht="20.25" customHeight="1">
      <c r="A13" s="200" t="s">
        <v>650</v>
      </c>
      <c r="B13" s="202">
        <f>ROUND((B9/2)*B12*(B10/1000)*(B11/1000)+((B9/2)*B12*(B10/1000)*(B11/1000)*0.01),1)</f>
        <v>7.5999999999999996</v>
      </c>
    </row>
    <row r="14" ht="15.6"/>
    <row r="15" ht="15">
      <c r="A15" s="203" t="s">
        <v>651</v>
      </c>
      <c r="B15" s="204">
        <f>B6+B13</f>
        <v>19.600000000000001</v>
      </c>
    </row>
  </sheetData>
  <printOptions headings="0" gridLines="0"/>
  <pageMargins left="0.69999999999999996" right="0.69999999999999996" top="0.78740157500000008" bottom="0.78740157500000008"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90" workbookViewId="0">
      <selection activeCell="B3" activeCellId="0" sqref="B3"/>
    </sheetView>
  </sheetViews>
  <sheetFormatPr baseColWidth="10" defaultRowHeight="14.4"/>
  <sheetData>
    <row r="1">
      <c r="A1" s="181" t="s">
        <v>652</v>
      </c>
      <c r="B1" s="181" t="s">
        <v>653</v>
      </c>
      <c r="C1" s="181" t="s">
        <v>654</v>
      </c>
    </row>
    <row r="2">
      <c r="A2">
        <v>5000</v>
      </c>
      <c r="B2" s="205">
        <v>1.1100000000000001</v>
      </c>
      <c r="C2">
        <f>A2*B2</f>
        <v>5550.0000000000009</v>
      </c>
    </row>
    <row r="3">
      <c r="A3">
        <f>C2/B3</f>
        <v>4302.3255813953492</v>
      </c>
      <c r="B3">
        <f>B2+0.18</f>
        <v>1.29</v>
      </c>
    </row>
    <row r="4">
      <c r="A4" s="206">
        <f>ROUNDUP(A3,0)</f>
        <v>4303</v>
      </c>
      <c r="B4">
        <f>B3</f>
        <v>1.29</v>
      </c>
      <c r="C4">
        <f>A4*B4</f>
        <v>5550.8699999999999</v>
      </c>
    </row>
    <row r="5">
      <c r="A5" s="207" t="s">
        <v>655</v>
      </c>
    </row>
    <row r="6">
      <c r="A6" s="208" t="s">
        <v>656</v>
      </c>
    </row>
    <row r="8">
      <c r="B8" s="194" t="s">
        <v>657</v>
      </c>
      <c r="C8" s="205"/>
    </row>
  </sheetData>
  <printOptions headings="0" gridLines="0"/>
  <pageMargins left="0.69999999999999996" right="0.69999999999999996" top="0.78740157500000008" bottom="0.78740157500000008"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ONLYOFFICE/9.4.0.129</Application>
  <DocSecurity>0</DocSecurity>
  <ScaleCrop>0</ScaleCrop>
  <HeadingPairs>
    <vt:vector size="0" baseType="variant"/>
  </HeadingPairs>
  <TitlesOfParts>
    <vt:vector size="0" baseType="lpstr"/>
  </TitlesOfParts>
  <Company/>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dc:creator>
  <cp:revision>3</cp:revision>
  <dcterms:created xsi:type="dcterms:W3CDTF">2019-03-26T11:11:19Z</dcterms:created>
  <dcterms:modified xsi:type="dcterms:W3CDTF">2026-09-06T02:39:35Z</dcterms:modified>
</cp:coreProperties>
</file>